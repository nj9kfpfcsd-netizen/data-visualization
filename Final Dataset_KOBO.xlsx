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2.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MayankHedau\Downloads\"/>
    </mc:Choice>
  </mc:AlternateContent>
  <xr:revisionPtr revIDLastSave="0" documentId="8_{E9CA6DCF-0AA2-4A2E-BA3F-60DA27D1F571}" xr6:coauthVersionLast="47" xr6:coauthVersionMax="47" xr10:uidLastSave="{00000000-0000-0000-0000-000000000000}"/>
  <bookViews>
    <workbookView xWindow="-110" yWindow="-110" windowWidth="19420" windowHeight="11500" tabRatio="326" xr2:uid="{00000000-000D-0000-FFFF-FFFF00000000}"/>
  </bookViews>
  <sheets>
    <sheet name="Dataset" sheetId="1" r:id="rId1"/>
    <sheet name="Graphs" sheetId="4" r:id="rId2"/>
    <sheet name="Analysi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2" l="1"/>
  <c r="G3" i="2"/>
  <c r="G12" i="2"/>
  <c r="G11" i="2"/>
  <c r="G10" i="2"/>
  <c r="G9" i="2"/>
  <c r="G8" i="2"/>
  <c r="G7" i="2"/>
  <c r="G6" i="2"/>
  <c r="G5" i="2"/>
  <c r="G4" i="2"/>
  <c r="G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HP30</author>
    <author>Suruchi Ghosh</author>
  </authors>
  <commentList>
    <comment ref="BB2" authorId="0" shapeId="0" xr:uid="{E7B54E56-A185-4B57-81A9-581D3AC83D45}">
      <text>
        <r>
          <rPr>
            <b/>
            <sz val="9"/>
            <color indexed="81"/>
            <rFont val="Tahoma"/>
          </rPr>
          <t>HP30:</t>
        </r>
        <r>
          <rPr>
            <sz val="9"/>
            <color indexed="81"/>
            <rFont val="Tahoma"/>
          </rPr>
          <t xml:space="preserve">
Check MT or tonnes</t>
        </r>
      </text>
    </comment>
    <comment ref="J3" authorId="1" shapeId="0" xr:uid="{7C612832-9E10-4608-B450-0E3942BAFF09}">
      <text>
        <r>
          <rPr>
            <b/>
            <sz val="9"/>
            <color indexed="81"/>
            <rFont val="Tahoma"/>
            <family val="2"/>
          </rPr>
          <t>Suruchi Ghosh:</t>
        </r>
        <r>
          <rPr>
            <sz val="9"/>
            <color indexed="81"/>
            <rFont val="Tahoma"/>
            <family val="2"/>
          </rPr>
          <t xml:space="preserve">
Provided 2023-24 as baseline</t>
        </r>
      </text>
    </comment>
    <comment ref="V3" authorId="1" shapeId="0" xr:uid="{3C372B67-7274-477B-88A4-8E97C064A5EC}">
      <text>
        <r>
          <rPr>
            <b/>
            <sz val="9"/>
            <color indexed="81"/>
            <rFont val="Tahoma"/>
          </rPr>
          <t>Suruchi Ghosh:</t>
        </r>
        <r>
          <rPr>
            <sz val="9"/>
            <color indexed="81"/>
            <rFont val="Tahoma"/>
          </rPr>
          <t xml:space="preserve">
converted from kcal/kg</t>
        </r>
      </text>
    </comment>
    <comment ref="AC3" authorId="1" shapeId="0" xr:uid="{8BBD2D59-5549-4AB7-8F86-E9104FAD322B}">
      <text>
        <r>
          <rPr>
            <b/>
            <sz val="9"/>
            <color indexed="81"/>
            <rFont val="Tahoma"/>
            <family val="2"/>
          </rPr>
          <t>Suruchi Ghosh:</t>
        </r>
        <r>
          <rPr>
            <sz val="9"/>
            <color indexed="81"/>
            <rFont val="Tahoma"/>
            <family val="2"/>
          </rPr>
          <t xml:space="preserve">
did not answer from the choices, said "whenever received basis"</t>
        </r>
      </text>
    </comment>
    <comment ref="AJ3" authorId="1" shapeId="0" xr:uid="{837FE0F0-0B37-4A8C-AFFA-C6BF4AA93BD9}">
      <text>
        <r>
          <rPr>
            <b/>
            <sz val="9"/>
            <color indexed="81"/>
            <rFont val="Tahoma"/>
            <family val="2"/>
          </rPr>
          <t>Suruchi Ghosh:</t>
        </r>
        <r>
          <rPr>
            <sz val="9"/>
            <color indexed="81"/>
            <rFont val="Tahoma"/>
            <family val="2"/>
          </rPr>
          <t xml:space="preserve">
Converted from 9000 kVA (originally given in the response)</t>
        </r>
      </text>
    </comment>
    <comment ref="AN3" authorId="1" shapeId="0" xr:uid="{8402FA83-32C8-4D2A-9D4C-33AE0A0E94DF}">
      <text>
        <r>
          <rPr>
            <b/>
            <sz val="9"/>
            <color indexed="81"/>
            <rFont val="Tahoma"/>
            <family val="2"/>
          </rPr>
          <t>Suruchi Ghosh:</t>
        </r>
        <r>
          <rPr>
            <sz val="9"/>
            <color indexed="81"/>
            <rFont val="Tahoma"/>
            <family val="2"/>
          </rPr>
          <t xml:space="preserve">
original response reads: "Import electricity from grid"</t>
        </r>
      </text>
    </comment>
    <comment ref="AR3" authorId="1" shapeId="0" xr:uid="{0A3A8E39-2EB9-464B-A230-30F88FA2FCBA}">
      <text>
        <r>
          <rPr>
            <b/>
            <sz val="9"/>
            <color indexed="81"/>
            <rFont val="Tahoma"/>
            <family val="2"/>
          </rPr>
          <t>Suruchi Ghosh:</t>
        </r>
        <r>
          <rPr>
            <sz val="9"/>
            <color indexed="81"/>
            <rFont val="Tahoma"/>
            <family val="2"/>
          </rPr>
          <t xml:space="preserve">
Converted from 100Kwh to MWh provided in original offline response</t>
        </r>
      </text>
    </comment>
    <comment ref="BX3" authorId="1" shapeId="0" xr:uid="{1C3B8261-4984-4F29-BB5F-5A9AB848558D}">
      <text>
        <r>
          <rPr>
            <b/>
            <sz val="9"/>
            <color indexed="81"/>
            <rFont val="Tahoma"/>
            <family val="2"/>
          </rPr>
          <t>Suruchi Ghosh:</t>
        </r>
        <r>
          <rPr>
            <sz val="9"/>
            <color indexed="81"/>
            <rFont val="Tahoma"/>
            <family val="2"/>
          </rPr>
          <t xml:space="preserve">
""PLC" in original offline rresponse</t>
        </r>
      </text>
    </comment>
    <comment ref="CB3" authorId="1" shapeId="0" xr:uid="{48266D75-48E8-4B3E-BA8A-26626E3B652B}">
      <text>
        <r>
          <rPr>
            <b/>
            <sz val="9"/>
            <color indexed="81"/>
            <rFont val="Tahoma"/>
            <family val="2"/>
          </rPr>
          <t>Suruchi Ghosh:</t>
        </r>
        <r>
          <rPr>
            <sz val="9"/>
            <color indexed="81"/>
            <rFont val="Tahoma"/>
            <family val="2"/>
          </rPr>
          <t xml:space="preserve">
Units not specified in offline response</t>
        </r>
      </text>
    </comment>
    <comment ref="CQ3" authorId="1" shapeId="0" xr:uid="{3A12DC37-63AF-4945-876B-85C345EEC82E}">
      <text>
        <r>
          <rPr>
            <b/>
            <sz val="9"/>
            <color indexed="81"/>
            <rFont val="Tahoma"/>
            <family val="2"/>
          </rPr>
          <t>Suruchi Ghosh:
only PPC. OPC, WPC mentioned- full forms added by myself</t>
        </r>
      </text>
    </comment>
    <comment ref="DJ3" authorId="1" shapeId="0" xr:uid="{55E3F5AF-35C2-4C96-A91F-48230DBC7E3C}">
      <text>
        <r>
          <rPr>
            <b/>
            <sz val="9"/>
            <color indexed="81"/>
            <rFont val="Tahoma"/>
            <family val="2"/>
          </rPr>
          <t>Suruchi Ghosh:</t>
        </r>
        <r>
          <rPr>
            <sz val="9"/>
            <color indexed="81"/>
            <rFont val="Tahoma"/>
            <family val="2"/>
          </rPr>
          <t xml:space="preserve">
Original text from response: "Since the plant is operational until FY 2025, 
decarbonization levers such as AFR and dedicated feeding systems are planned to be implemented in a phased manner; however, few barriers have been identified. High capital and operating costs associated with deploying low-carbon technologies, including alternative fuel systems and CCUS. Inconsistent and unreliable supply of alternative fuels, limiting sustained fuel substitution and operational continuity."</t>
        </r>
      </text>
    </comment>
    <comment ref="DP3" authorId="1" shapeId="0" xr:uid="{C98D78F7-270C-422A-AEEC-CD8F2B81AAB0}">
      <text>
        <r>
          <rPr>
            <b/>
            <sz val="9"/>
            <color indexed="81"/>
            <rFont val="Tahoma"/>
            <family val="2"/>
          </rPr>
          <t>Suruchi Ghosh:</t>
        </r>
        <r>
          <rPr>
            <sz val="9"/>
            <color indexed="81"/>
            <rFont val="Tahoma"/>
            <family val="2"/>
          </rPr>
          <t xml:space="preserve">
Full response: Yes, We are willing to support
 government programs, partnerships with industry and academia</t>
        </r>
      </text>
    </comment>
    <comment ref="P4" authorId="0" shapeId="0" xr:uid="{21F34F25-F90B-48D8-8864-36138BAD30DF}">
      <text>
        <r>
          <rPr>
            <b/>
            <sz val="9"/>
            <color indexed="81"/>
            <rFont val="Tahoma"/>
          </rPr>
          <t>HP30:</t>
        </r>
        <r>
          <rPr>
            <sz val="9"/>
            <color indexed="81"/>
            <rFont val="Tahoma"/>
          </rPr>
          <t xml:space="preserve">
</t>
        </r>
      </text>
    </comment>
    <comment ref="AA4" authorId="1" shapeId="0" xr:uid="{EC6FBC90-0BD1-4598-9BB2-17EF9505EFC1}">
      <text>
        <r>
          <rPr>
            <b/>
            <sz val="9"/>
            <color indexed="81"/>
            <rFont val="Tahoma"/>
            <family val="2"/>
          </rPr>
          <t>Suruchi Ghosh:</t>
        </r>
        <r>
          <rPr>
            <sz val="9"/>
            <color indexed="81"/>
            <rFont val="Tahoma"/>
            <family val="2"/>
          </rPr>
          <t xml:space="preserve">
Qty received has been used from the original response and the total of both broad categories has been used
</t>
        </r>
      </text>
    </comment>
    <comment ref="AE4" authorId="1" shapeId="0" xr:uid="{887D0842-7CD0-4CF3-A4EC-ADE883FB3225}">
      <text>
        <r>
          <rPr>
            <b/>
            <sz val="9"/>
            <color indexed="81"/>
            <rFont val="Tahoma"/>
            <family val="2"/>
          </rPr>
          <t>Suruchi Ghosh:</t>
        </r>
        <r>
          <rPr>
            <sz val="9"/>
            <color indexed="81"/>
            <rFont val="Tahoma"/>
            <family val="2"/>
          </rPr>
          <t xml:space="preserve">
Taken FY 2024-25 Data from the original response of data of 3 years
</t>
        </r>
      </text>
    </comment>
    <comment ref="CQ4" authorId="1" shapeId="0" xr:uid="{9634B2C0-C5C0-4BC3-8783-1AE80695449C}">
      <text>
        <r>
          <rPr>
            <b/>
            <sz val="9"/>
            <color indexed="81"/>
            <rFont val="Tahoma"/>
            <family val="2"/>
          </rPr>
          <t>Suruchi Ghosh:</t>
        </r>
        <r>
          <rPr>
            <sz val="9"/>
            <color indexed="81"/>
            <rFont val="Tahoma"/>
            <family val="2"/>
          </rPr>
          <t xml:space="preserve">
"OPC &amp; PPC" in response - OPC is oridinary portland cement therefore is not mentioned
</t>
        </r>
      </text>
    </comment>
    <comment ref="DG4" authorId="1" shapeId="0" xr:uid="{6A5C71E7-98C5-4709-83DB-D7FC46C6CBE7}">
      <text>
        <r>
          <rPr>
            <b/>
            <sz val="9"/>
            <color indexed="81"/>
            <rFont val="Tahoma"/>
            <family val="2"/>
          </rPr>
          <t>Suruchi Ghosh:</t>
        </r>
        <r>
          <rPr>
            <sz val="9"/>
            <color indexed="81"/>
            <rFont val="Tahoma"/>
            <family val="2"/>
          </rPr>
          <t xml:space="preserve">
Refer to image attached in offline response for answer</t>
        </r>
      </text>
    </comment>
    <comment ref="DI4" authorId="1" shapeId="0" xr:uid="{BAC386BB-3DC3-4228-9D66-24617B986068}">
      <text>
        <r>
          <rPr>
            <b/>
            <sz val="9"/>
            <color indexed="81"/>
            <rFont val="Tahoma"/>
            <family val="2"/>
          </rPr>
          <t>Suruchi Ghosh:</t>
        </r>
        <r>
          <rPr>
            <sz val="9"/>
            <color indexed="81"/>
            <rFont val="Tahoma"/>
            <family val="2"/>
          </rPr>
          <t xml:space="preserve">
Full text from response: Training conducted in once in 02 Years &amp; Job Specific training conducted once in a year of HR Department</t>
        </r>
      </text>
    </comment>
    <comment ref="P5" authorId="1" shapeId="0" xr:uid="{88F31205-DFB8-4904-9CDC-8B02A751E6A0}">
      <text>
        <r>
          <rPr>
            <b/>
            <sz val="9"/>
            <color indexed="81"/>
            <rFont val="Tahoma"/>
          </rPr>
          <t>Suruchi Ghosh:</t>
        </r>
        <r>
          <rPr>
            <sz val="9"/>
            <color indexed="81"/>
            <rFont val="Tahoma"/>
          </rPr>
          <t xml:space="preserve">
average of both lines taken from the original sheet for the FY 2024-25
</t>
        </r>
      </text>
    </comment>
    <comment ref="X5" authorId="1" shapeId="0" xr:uid="{4BDD48D5-AF17-4C0F-9C76-90852FED6EFE}">
      <text>
        <r>
          <rPr>
            <b/>
            <sz val="9"/>
            <color indexed="81"/>
            <rFont val="Tahoma"/>
          </rPr>
          <t xml:space="preserve">Suruchi Ghosh:
</t>
        </r>
        <r>
          <rPr>
            <sz val="9"/>
            <color indexed="81"/>
            <rFont val="Tahoma"/>
            <family val="2"/>
          </rPr>
          <t xml:space="preserve">Value for 'Thermal Energy as Specific Heat' picked up from the original response for FY 2024-25
</t>
        </r>
      </text>
    </comment>
    <comment ref="AA5" authorId="1" shapeId="0" xr:uid="{2D8B0BCC-AFE0-453D-B500-B74D51922973}">
      <text>
        <r>
          <rPr>
            <b/>
            <sz val="9"/>
            <color indexed="81"/>
            <rFont val="Tahoma"/>
            <family val="2"/>
          </rPr>
          <t>Suruchi Ghosh:</t>
        </r>
        <r>
          <rPr>
            <sz val="9"/>
            <color indexed="81"/>
            <rFont val="Tahoma"/>
            <family val="2"/>
          </rPr>
          <t xml:space="preserve">
Qty Received has been used from the original response</t>
        </r>
      </text>
    </comment>
    <comment ref="AJ5" authorId="1" shapeId="0" xr:uid="{28031239-49AC-4A90-AA5B-A0BDA3B4287C}">
      <text>
        <r>
          <rPr>
            <b/>
            <sz val="9"/>
            <color indexed="81"/>
            <rFont val="Tahoma"/>
            <family val="2"/>
          </rPr>
          <t>Suruchi Ghosh:</t>
        </r>
        <r>
          <rPr>
            <sz val="9"/>
            <color indexed="81"/>
            <rFont val="Tahoma"/>
            <family val="2"/>
          </rPr>
          <t xml:space="preserve">
Used FY 2024-25 Data from the given response for 3 years</t>
        </r>
      </text>
    </comment>
    <comment ref="CA5" authorId="1" shapeId="0" xr:uid="{F2383104-714F-4BC4-88FD-8C9A4F51A6BB}">
      <text>
        <r>
          <rPr>
            <b/>
            <sz val="9"/>
            <color indexed="81"/>
            <rFont val="Tahoma"/>
            <family val="2"/>
          </rPr>
          <t>Suruchi Ghosh:</t>
        </r>
        <r>
          <rPr>
            <sz val="9"/>
            <color indexed="81"/>
            <rFont val="Tahoma"/>
            <family val="2"/>
          </rPr>
          <t xml:space="preserve">
No separate sources listed in offline response
</t>
        </r>
      </text>
    </comment>
    <comment ref="DG5" authorId="1" shapeId="0" xr:uid="{6A03164A-5ADD-44F1-8312-94BABBFF239A}">
      <text>
        <r>
          <rPr>
            <b/>
            <sz val="9"/>
            <color indexed="81"/>
            <rFont val="Tahoma"/>
            <family val="2"/>
          </rPr>
          <t>Suruchi Ghosh:</t>
        </r>
        <r>
          <rPr>
            <sz val="9"/>
            <color indexed="81"/>
            <rFont val="Tahoma"/>
            <family val="2"/>
          </rPr>
          <t xml:space="preserve">
Refer to image attached in offline response for answer</t>
        </r>
      </text>
    </comment>
    <comment ref="V6" authorId="1" shapeId="0" xr:uid="{63718AC6-C7BF-45F1-B918-3D08463081B9}">
      <text>
        <r>
          <rPr>
            <b/>
            <sz val="9"/>
            <color indexed="81"/>
            <rFont val="Tahoma"/>
          </rPr>
          <t>Suruchi Ghosh:</t>
        </r>
        <r>
          <rPr>
            <sz val="9"/>
            <color indexed="81"/>
            <rFont val="Tahoma"/>
          </rPr>
          <t xml:space="preserve">
converted from kcal/kg</t>
        </r>
      </text>
    </comment>
    <comment ref="AA6" authorId="1" shapeId="0" xr:uid="{23C02A9D-3852-4FDB-8720-6F7B43E624FF}">
      <text>
        <r>
          <rPr>
            <b/>
            <sz val="9"/>
            <color indexed="81"/>
            <rFont val="Tahoma"/>
            <family val="2"/>
          </rPr>
          <t>Suruchi Ghosh:</t>
        </r>
        <r>
          <rPr>
            <sz val="9"/>
            <color indexed="81"/>
            <rFont val="Tahoma"/>
            <family val="2"/>
          </rPr>
          <t xml:space="preserve">
calculated from given broken down categories in offline response</t>
        </r>
      </text>
    </comment>
    <comment ref="AC6" authorId="1" shapeId="0" xr:uid="{F3C4C9A3-E8C9-4253-9BE1-BDB0A6A410B6}">
      <text>
        <r>
          <rPr>
            <b/>
            <sz val="9"/>
            <color indexed="81"/>
            <rFont val="Tahoma"/>
            <family val="2"/>
          </rPr>
          <t>Suruchi Ghosh:</t>
        </r>
        <r>
          <rPr>
            <sz val="9"/>
            <color indexed="81"/>
            <rFont val="Tahoma"/>
            <family val="2"/>
          </rPr>
          <t xml:space="preserve">
Offline response says "daily", not a part of the given options in Kobo</t>
        </r>
      </text>
    </comment>
    <comment ref="AR6" authorId="1" shapeId="0" xr:uid="{EDE81B23-FE43-4548-8F03-5272134FBF78}">
      <text>
        <r>
          <rPr>
            <b/>
            <sz val="9"/>
            <color indexed="81"/>
            <rFont val="Tahoma"/>
            <family val="2"/>
          </rPr>
          <t>Suruchi Ghosh:</t>
        </r>
        <r>
          <rPr>
            <sz val="9"/>
            <color indexed="81"/>
            <rFont val="Tahoma"/>
            <family val="2"/>
          </rPr>
          <t xml:space="preserve">
converted from 75kWp</t>
        </r>
      </text>
    </comment>
    <comment ref="AS6" authorId="1" shapeId="0" xr:uid="{F7781C9C-0CC5-4952-AD61-1B17832B61B8}">
      <text>
        <r>
          <rPr>
            <b/>
            <sz val="9"/>
            <color indexed="81"/>
            <rFont val="Tahoma"/>
            <family val="2"/>
          </rPr>
          <t>Suruchi Ghosh:</t>
        </r>
        <r>
          <rPr>
            <sz val="9"/>
            <color indexed="81"/>
            <rFont val="Tahoma"/>
            <family val="2"/>
          </rPr>
          <t xml:space="preserve">
converted from MWh</t>
        </r>
      </text>
    </comment>
    <comment ref="CB6" authorId="1" shapeId="0" xr:uid="{F2463F53-1474-4D69-B9D5-FA9BDD7EA9FD}">
      <text>
        <r>
          <rPr>
            <b/>
            <sz val="9"/>
            <color indexed="81"/>
            <rFont val="Tahoma"/>
            <family val="2"/>
          </rPr>
          <t>Suruchi Ghosh:</t>
        </r>
        <r>
          <rPr>
            <sz val="9"/>
            <color indexed="81"/>
            <rFont val="Tahoma"/>
            <family val="2"/>
          </rPr>
          <t xml:space="preserve">
unit notspecified in response
</t>
        </r>
      </text>
    </comment>
    <comment ref="CO6" authorId="1" shapeId="0" xr:uid="{81E1211A-278F-4A73-8E8A-0556E3D757EF}">
      <text>
        <r>
          <rPr>
            <b/>
            <sz val="9"/>
            <color indexed="81"/>
            <rFont val="Tahoma"/>
            <family val="2"/>
          </rPr>
          <t>Suruchi Ghosh:</t>
        </r>
        <r>
          <rPr>
            <sz val="9"/>
            <color indexed="81"/>
            <rFont val="Tahoma"/>
            <family val="2"/>
          </rPr>
          <t xml:space="preserve">
Full response given - </t>
        </r>
        <r>
          <rPr>
            <b/>
            <sz val="9"/>
            <color indexed="81"/>
            <rFont val="Tahoma"/>
            <family val="2"/>
          </rPr>
          <t> Portland Calcine Clay Limestone Cement (LC3): Low-carbon cement innovation Collaboration: Indian Institute of Technology, Delhi.
 Feasibility study for utilisation of chlorine by pass dust (CBD) in cement manufacturing Collaboration: Indian Institute of Technology, Kanpur.
 CCU: In collaboration with the National Council for Cement and Building Materials (NCCBM) and IIT Roorkee.</t>
        </r>
      </text>
    </comment>
    <comment ref="CR6" authorId="1" shapeId="0" xr:uid="{0C26BB40-B602-4BEF-90B4-008F159544EA}">
      <text>
        <r>
          <rPr>
            <b/>
            <sz val="9"/>
            <color indexed="81"/>
            <rFont val="Tahoma"/>
            <family val="2"/>
          </rPr>
          <t>Suruchi Ghosh:</t>
        </r>
        <r>
          <rPr>
            <sz val="9"/>
            <color indexed="81"/>
            <rFont val="Tahoma"/>
            <family val="2"/>
          </rPr>
          <t xml:space="preserve">
Converted to kg/tonne from GHG overall In original response</t>
        </r>
      </text>
    </comment>
    <comment ref="CT6" authorId="1" shapeId="0" xr:uid="{B8CECBDD-6608-48D7-8D58-00945D77F71C}">
      <text>
        <r>
          <rPr>
            <b/>
            <sz val="9"/>
            <color indexed="81"/>
            <rFont val="Tahoma"/>
            <family val="2"/>
          </rPr>
          <t>Suruchi Ghosh:</t>
        </r>
        <r>
          <rPr>
            <sz val="9"/>
            <color indexed="81"/>
            <rFont val="Tahoma"/>
            <family val="2"/>
          </rPr>
          <t xml:space="preserve">
For other plants we have conducted LCA for our major products. However, for Panna IU, LCA &amp; EPDs are lined up.</t>
        </r>
      </text>
    </comment>
    <comment ref="F7" authorId="1" shapeId="0" xr:uid="{CE97F945-DB5E-489F-9B6A-C688EE80762A}">
      <text>
        <r>
          <rPr>
            <b/>
            <sz val="9"/>
            <color indexed="81"/>
            <rFont val="Tahoma"/>
            <family val="2"/>
          </rPr>
          <t>Suruchi Ghosh:</t>
        </r>
        <r>
          <rPr>
            <sz val="9"/>
            <color indexed="81"/>
            <rFont val="Tahoma"/>
            <family val="2"/>
          </rPr>
          <t xml:space="preserve">
another number provided by the plant is:  7891119730</t>
        </r>
      </text>
    </comment>
    <comment ref="V7" authorId="1" shapeId="0" xr:uid="{8284DABB-06CB-4010-B974-B4D7FE21436D}">
      <text>
        <r>
          <rPr>
            <b/>
            <sz val="9"/>
            <color indexed="81"/>
            <rFont val="Tahoma"/>
          </rPr>
          <t>Suruchi Ghosh:</t>
        </r>
        <r>
          <rPr>
            <sz val="9"/>
            <color indexed="81"/>
            <rFont val="Tahoma"/>
          </rPr>
          <t xml:space="preserve">
converted from kcal/kg - response did not specify </t>
        </r>
      </text>
    </comment>
    <comment ref="AN7" authorId="1" shapeId="0" xr:uid="{D5973772-A46C-4C37-AFDB-89D4F1B9F3F1}">
      <text>
        <r>
          <rPr>
            <b/>
            <sz val="9"/>
            <color indexed="81"/>
            <rFont val="Tahoma"/>
            <family val="2"/>
          </rPr>
          <t>Suruchi Ghosh:</t>
        </r>
        <r>
          <rPr>
            <sz val="9"/>
            <color indexed="81"/>
            <rFont val="Tahoma"/>
            <family val="2"/>
          </rPr>
          <t xml:space="preserve">
full response:         Yes, we import power from MPEB along with captive generation.</t>
        </r>
      </text>
    </comment>
    <comment ref="AV7" authorId="1" shapeId="0" xr:uid="{CE0D355C-38C7-4F6A-A0C1-D394B3FEF110}">
      <text>
        <r>
          <rPr>
            <b/>
            <sz val="9"/>
            <color indexed="81"/>
            <rFont val="Tahoma"/>
            <family val="2"/>
          </rPr>
          <t>Suruchi Ghosh:</t>
        </r>
        <r>
          <rPr>
            <sz val="9"/>
            <color indexed="81"/>
            <rFont val="Tahoma"/>
            <family val="2"/>
          </rPr>
          <t xml:space="preserve">
Used "all weather" shares from the 4 provided ones - refer to offline response for all given data</t>
        </r>
      </text>
    </comment>
    <comment ref="BI7" authorId="1" shapeId="0" xr:uid="{A108334A-D6BD-4725-AC91-B2A7E655A543}">
      <text>
        <r>
          <rPr>
            <b/>
            <sz val="9"/>
            <color indexed="81"/>
            <rFont val="Tahoma"/>
            <family val="2"/>
          </rPr>
          <t>Suruchi Ghosh:</t>
        </r>
        <r>
          <rPr>
            <sz val="9"/>
            <color indexed="81"/>
            <rFont val="Tahoma"/>
            <family val="2"/>
          </rPr>
          <t xml:space="preserve">
Further details in offline response sheet - Annexure 3</t>
        </r>
      </text>
    </comment>
    <comment ref="BO7" authorId="1" shapeId="0" xr:uid="{933A451F-D97C-4FBC-8052-AFF67F6E46B9}">
      <text>
        <r>
          <rPr>
            <b/>
            <sz val="9"/>
            <color indexed="81"/>
            <rFont val="Tahoma"/>
            <family val="2"/>
          </rPr>
          <t>Suruchi Ghosh:</t>
        </r>
        <r>
          <rPr>
            <sz val="9"/>
            <color indexed="81"/>
            <rFont val="Tahoma"/>
            <family val="2"/>
          </rPr>
          <t xml:space="preserve">
Extra details given:  The installation of the IKN Pendulum Cooler at our cement plant marks a significant stride in the direction of sustainability and energy efficiency. 
 This initiative aimed at optimizing clinker cooling while reducing thermal consumption and greenhouse gas emissions. 
 Environmental Benefits of the IKN Pendulum Cooler include:
 Recirculation of Hot Air
 Mitigating Carbon Emissions
 Reducing dependency on Traditional energy sources
 Increased Efficiency of WHRS
 Cost Saving
</t>
        </r>
      </text>
    </comment>
    <comment ref="BZ7" authorId="1" shapeId="0" xr:uid="{031C6F58-E286-4D5D-A7CB-FD1EEA5130E9}">
      <text>
        <r>
          <rPr>
            <b/>
            <sz val="9"/>
            <color indexed="81"/>
            <rFont val="Tahoma"/>
            <family val="2"/>
          </rPr>
          <t>Suruchi Ghosh:</t>
        </r>
        <r>
          <rPr>
            <sz val="9"/>
            <color indexed="81"/>
            <rFont val="Tahoma"/>
            <family val="2"/>
          </rPr>
          <t xml:space="preserve">
Annexure added in original offline response - refer to the document for the same</t>
        </r>
      </text>
    </comment>
    <comment ref="CA7" authorId="1" shapeId="0" xr:uid="{EEAB3930-7F22-4CCF-B416-4F3D95A85EC1}">
      <text>
        <r>
          <rPr>
            <b/>
            <sz val="9"/>
            <color indexed="81"/>
            <rFont val="Tahoma"/>
            <family val="2"/>
          </rPr>
          <t>Suruchi Ghosh:</t>
        </r>
        <r>
          <rPr>
            <sz val="9"/>
            <color indexed="81"/>
            <rFont val="Tahoma"/>
            <family val="2"/>
          </rPr>
          <t xml:space="preserve">
Refer to offline response, emmissions not broken down per unit under the plant and not broken down by process/combustion/elecelectricity</t>
        </r>
      </text>
    </comment>
    <comment ref="CE7" authorId="1" shapeId="0" xr:uid="{8C47B0E5-7098-4A79-95D4-5B9323480832}">
      <text>
        <r>
          <rPr>
            <b/>
            <sz val="9"/>
            <color indexed="81"/>
            <rFont val="Tahoma"/>
            <family val="2"/>
          </rPr>
          <t>Suruchi Ghosh:</t>
        </r>
        <r>
          <rPr>
            <sz val="9"/>
            <color indexed="81"/>
            <rFont val="Tahoma"/>
            <family val="2"/>
          </rPr>
          <t xml:space="preserve">
More details given - refer to offline response</t>
        </r>
      </text>
    </comment>
    <comment ref="CU7" authorId="1" shapeId="0" xr:uid="{9A90E11F-09F9-4A46-8387-25D413272A94}">
      <text>
        <r>
          <rPr>
            <b/>
            <sz val="9"/>
            <color indexed="81"/>
            <rFont val="Tahoma"/>
            <family val="2"/>
          </rPr>
          <t>Suruchi Ghosh:</t>
        </r>
        <r>
          <rPr>
            <sz val="9"/>
            <color indexed="81"/>
            <rFont val="Tahoma"/>
            <family val="2"/>
          </rPr>
          <t xml:space="preserve">
Refer to offline response - additional details in Annexure 4 of the plant's response</t>
        </r>
      </text>
    </comment>
    <comment ref="DC7" authorId="1" shapeId="0" xr:uid="{A95B66AE-5BF1-4F38-9B5F-2ECCB8543510}">
      <text>
        <r>
          <rPr>
            <b/>
            <sz val="9"/>
            <color indexed="81"/>
            <rFont val="Tahoma"/>
            <family val="2"/>
          </rPr>
          <t>Suruchi Ghosh:</t>
        </r>
        <r>
          <rPr>
            <sz val="9"/>
            <color indexed="81"/>
            <rFont val="Tahoma"/>
            <family val="2"/>
          </rPr>
          <t xml:space="preserve">
progress graph also been attached - refer to offline response</t>
        </r>
      </text>
    </comment>
    <comment ref="DG7" authorId="1" shapeId="0" xr:uid="{DFD80B13-EA1C-4565-BF77-72C771ABB6B8}">
      <text>
        <r>
          <rPr>
            <b/>
            <sz val="9"/>
            <color indexed="81"/>
            <rFont val="Tahoma"/>
            <family val="2"/>
          </rPr>
          <t>Suruchi Ghosh:</t>
        </r>
        <r>
          <rPr>
            <sz val="9"/>
            <color indexed="81"/>
            <rFont val="Tahoma"/>
            <family val="2"/>
          </rPr>
          <t xml:space="preserve">
table attached in offline response - please refer</t>
        </r>
      </text>
    </comment>
    <comment ref="DL7" authorId="1" shapeId="0" xr:uid="{4AD27721-EFB7-4E4C-93F9-B610141856B3}">
      <text>
        <r>
          <rPr>
            <b/>
            <sz val="9"/>
            <color indexed="81"/>
            <rFont val="Tahoma"/>
            <family val="2"/>
          </rPr>
          <t>Suruchi Ghosh:</t>
        </r>
        <r>
          <rPr>
            <sz val="9"/>
            <color indexed="81"/>
            <rFont val="Tahoma"/>
            <family val="2"/>
          </rPr>
          <t xml:space="preserve">
more than 5 listed, refer to offline response for the strengths post 5</t>
        </r>
      </text>
    </comment>
    <comment ref="DM7" authorId="1" shapeId="0" xr:uid="{E71F6010-044E-4E60-AE75-8A9F0F35B173}">
      <text>
        <r>
          <rPr>
            <b/>
            <sz val="9"/>
            <color indexed="81"/>
            <rFont val="Tahoma"/>
            <family val="2"/>
          </rPr>
          <t>Suruchi Ghosh:</t>
        </r>
        <r>
          <rPr>
            <sz val="9"/>
            <color indexed="81"/>
            <rFont val="Tahoma"/>
            <family val="2"/>
          </rPr>
          <t xml:space="preserve">
Additional stats and graphs provided - refer to graphs in offline responses</t>
        </r>
      </text>
    </comment>
    <comment ref="F8" authorId="1" shapeId="0" xr:uid="{7ED56D7C-3601-4335-87BD-04964E628B63}">
      <text>
        <r>
          <rPr>
            <b/>
            <sz val="9"/>
            <color indexed="81"/>
            <rFont val="Tahoma"/>
            <family val="2"/>
          </rPr>
          <t>Suruchi Ghosh:</t>
        </r>
        <r>
          <rPr>
            <sz val="9"/>
            <color indexed="81"/>
            <rFont val="Tahoma"/>
            <family val="2"/>
          </rPr>
          <t xml:space="preserve">
another number provided by the plant is:  7891119730</t>
        </r>
      </text>
    </comment>
    <comment ref="V8" authorId="1" shapeId="0" xr:uid="{A3172B82-105F-415F-91ED-DD9238FF9F3F}">
      <text>
        <r>
          <rPr>
            <b/>
            <sz val="9"/>
            <color indexed="81"/>
            <rFont val="Tahoma"/>
          </rPr>
          <t>Suruchi Ghosh:</t>
        </r>
        <r>
          <rPr>
            <sz val="9"/>
            <color indexed="81"/>
            <rFont val="Tahoma"/>
          </rPr>
          <t xml:space="preserve">
converted from kcal/kg - response did not specify </t>
        </r>
      </text>
    </comment>
    <comment ref="AN8" authorId="1" shapeId="0" xr:uid="{11858AA1-14E6-4DB0-B046-3A33B13F3B17}">
      <text>
        <r>
          <rPr>
            <b/>
            <sz val="9"/>
            <color indexed="81"/>
            <rFont val="Tahoma"/>
            <family val="2"/>
          </rPr>
          <t>Suruchi Ghosh:</t>
        </r>
        <r>
          <rPr>
            <sz val="9"/>
            <color indexed="81"/>
            <rFont val="Tahoma"/>
            <family val="2"/>
          </rPr>
          <t xml:space="preserve">
full response:         Yes, we import power from MPEB along with captive generation.</t>
        </r>
      </text>
    </comment>
    <comment ref="AV8" authorId="1" shapeId="0" xr:uid="{AE65C067-EB16-4867-89D6-E35681B91304}">
      <text>
        <r>
          <rPr>
            <b/>
            <sz val="9"/>
            <color indexed="81"/>
            <rFont val="Tahoma"/>
            <family val="2"/>
          </rPr>
          <t>Suruchi Ghosh:</t>
        </r>
        <r>
          <rPr>
            <sz val="9"/>
            <color indexed="81"/>
            <rFont val="Tahoma"/>
            <family val="2"/>
          </rPr>
          <t xml:space="preserve">
Used "all weather" shares from the 4 provided ones - refer to offline response for all given data</t>
        </r>
      </text>
    </comment>
    <comment ref="BI8" authorId="1" shapeId="0" xr:uid="{A3F00A32-596C-4E79-9457-D380B2430EDC}">
      <text>
        <r>
          <rPr>
            <b/>
            <sz val="9"/>
            <color indexed="81"/>
            <rFont val="Tahoma"/>
            <family val="2"/>
          </rPr>
          <t>Suruchi Ghosh:</t>
        </r>
        <r>
          <rPr>
            <sz val="9"/>
            <color indexed="81"/>
            <rFont val="Tahoma"/>
            <family val="2"/>
          </rPr>
          <t xml:space="preserve">
Further details in offline response sheet - Annexure 3</t>
        </r>
      </text>
    </comment>
    <comment ref="BO8" authorId="1" shapeId="0" xr:uid="{7E81131B-4E56-443B-A231-FEBBDD42A98F}">
      <text>
        <r>
          <rPr>
            <b/>
            <sz val="9"/>
            <color indexed="81"/>
            <rFont val="Tahoma"/>
            <family val="2"/>
          </rPr>
          <t>Suruchi Ghosh:</t>
        </r>
        <r>
          <rPr>
            <sz val="9"/>
            <color indexed="81"/>
            <rFont val="Tahoma"/>
            <family val="2"/>
          </rPr>
          <t xml:space="preserve">
Extra details given:  The installation of the IKN Pendulum Cooler at our cement plant marks a significant stride in the direction of sustainability and energy efficiency. 
 This initiative aimed at optimizing clinker cooling while reducing thermal consumption and greenhouse gas emissions. 
 Environmental Benefits of the IKN Pendulum Cooler include:
 Recirculation of Hot Air
 Mitigating Carbon Emissions
 Reducing dependency on Traditional energy sources
 Increased Efficiency of WHRS
 Cost Saving
</t>
        </r>
      </text>
    </comment>
    <comment ref="BZ8" authorId="1" shapeId="0" xr:uid="{9309B0A2-E6A9-4D03-8E75-93592C881FE1}">
      <text>
        <r>
          <rPr>
            <b/>
            <sz val="9"/>
            <color indexed="81"/>
            <rFont val="Tahoma"/>
            <family val="2"/>
          </rPr>
          <t>Suruchi Ghosh:</t>
        </r>
        <r>
          <rPr>
            <sz val="9"/>
            <color indexed="81"/>
            <rFont val="Tahoma"/>
            <family val="2"/>
          </rPr>
          <t xml:space="preserve">
Annexure added in original offline response - refer to the document for the same</t>
        </r>
      </text>
    </comment>
    <comment ref="CE8" authorId="1" shapeId="0" xr:uid="{1D699D09-4D80-44AE-816C-60B767DC4A84}">
      <text>
        <r>
          <rPr>
            <b/>
            <sz val="9"/>
            <color indexed="81"/>
            <rFont val="Tahoma"/>
            <family val="2"/>
          </rPr>
          <t>Suruchi Ghosh:</t>
        </r>
        <r>
          <rPr>
            <sz val="9"/>
            <color indexed="81"/>
            <rFont val="Tahoma"/>
            <family val="2"/>
          </rPr>
          <t xml:space="preserve">
further details attached in offline response</t>
        </r>
      </text>
    </comment>
    <comment ref="CU8" authorId="1" shapeId="0" xr:uid="{D7C1CB53-5CBF-49EE-B2FE-1116A4131CDF}">
      <text>
        <r>
          <rPr>
            <b/>
            <sz val="9"/>
            <color indexed="81"/>
            <rFont val="Tahoma"/>
            <family val="2"/>
          </rPr>
          <t>Suruchi Ghosh:</t>
        </r>
        <r>
          <rPr>
            <sz val="9"/>
            <color indexed="81"/>
            <rFont val="Tahoma"/>
            <family val="2"/>
          </rPr>
          <t xml:space="preserve">
Refer to offline response - additional details in Annexure 4 of the plant's response</t>
        </r>
      </text>
    </comment>
    <comment ref="DC8" authorId="1" shapeId="0" xr:uid="{C1F48E4B-5E7E-4614-8D24-3696629588DC}">
      <text>
        <r>
          <rPr>
            <b/>
            <sz val="9"/>
            <color indexed="81"/>
            <rFont val="Tahoma"/>
            <family val="2"/>
          </rPr>
          <t>Suruchi Ghosh:</t>
        </r>
        <r>
          <rPr>
            <sz val="9"/>
            <color indexed="81"/>
            <rFont val="Tahoma"/>
            <family val="2"/>
          </rPr>
          <t xml:space="preserve">
progress graph also been attached - refer to offline response</t>
        </r>
      </text>
    </comment>
    <comment ref="DG8" authorId="1" shapeId="0" xr:uid="{F5019BB0-C475-4CCA-9988-3B3B57B717B6}">
      <text>
        <r>
          <rPr>
            <b/>
            <sz val="9"/>
            <color indexed="81"/>
            <rFont val="Tahoma"/>
            <family val="2"/>
          </rPr>
          <t>Suruchi Ghosh:</t>
        </r>
        <r>
          <rPr>
            <sz val="9"/>
            <color indexed="81"/>
            <rFont val="Tahoma"/>
            <family val="2"/>
          </rPr>
          <t xml:space="preserve">
table attached in offline response - please refer</t>
        </r>
      </text>
    </comment>
    <comment ref="DL8" authorId="1" shapeId="0" xr:uid="{F6B317CA-20D7-4332-BDAC-A6EEF947C0E6}">
      <text>
        <r>
          <rPr>
            <b/>
            <sz val="9"/>
            <color indexed="81"/>
            <rFont val="Tahoma"/>
            <family val="2"/>
          </rPr>
          <t>Suruchi Ghosh:</t>
        </r>
        <r>
          <rPr>
            <sz val="9"/>
            <color indexed="81"/>
            <rFont val="Tahoma"/>
            <family val="2"/>
          </rPr>
          <t xml:space="preserve">
more than 5 listed, refer to offline response for the strengths post 5</t>
        </r>
      </text>
    </comment>
    <comment ref="DM8" authorId="1" shapeId="0" xr:uid="{95455AEB-5F31-4BFF-A3D8-DAAA163ECC46}">
      <text>
        <r>
          <rPr>
            <b/>
            <sz val="9"/>
            <color indexed="81"/>
            <rFont val="Tahoma"/>
            <family val="2"/>
          </rPr>
          <t>Suruchi Ghosh:</t>
        </r>
        <r>
          <rPr>
            <sz val="9"/>
            <color indexed="81"/>
            <rFont val="Tahoma"/>
            <family val="2"/>
          </rPr>
          <t xml:space="preserve">
Additional stats and graphs provided - refer to graphs in offline responses</t>
        </r>
      </text>
    </comment>
    <comment ref="E9" authorId="1" shapeId="0" xr:uid="{03247BDD-75AA-40B7-A467-8572C60498E9}">
      <text>
        <r>
          <rPr>
            <b/>
            <sz val="9"/>
            <color indexed="81"/>
            <rFont val="Tahoma"/>
          </rPr>
          <t>Suruchi Ghosh:</t>
        </r>
        <r>
          <rPr>
            <sz val="9"/>
            <color indexed="81"/>
            <rFont val="Tahoma"/>
          </rPr>
          <t xml:space="preserve">
only added information is given as "environment cell"
</t>
        </r>
      </text>
    </comment>
    <comment ref="P9" authorId="1" shapeId="0" xr:uid="{7B1E1476-27E5-4DE6-8CEA-C0D8AAAF9315}">
      <text>
        <r>
          <rPr>
            <b/>
            <sz val="9"/>
            <color indexed="81"/>
            <rFont val="Tahoma"/>
            <family val="2"/>
          </rPr>
          <t>Suruchi Ghosh:</t>
        </r>
        <r>
          <rPr>
            <sz val="9"/>
            <color indexed="81"/>
            <rFont val="Tahoma"/>
            <family val="2"/>
          </rPr>
          <t xml:space="preserve">
2024-25 data used
</t>
        </r>
      </text>
    </comment>
    <comment ref="V9" authorId="1" shapeId="0" xr:uid="{5D07A3CC-6360-4BB5-8B23-37206DD64604}">
      <text>
        <r>
          <rPr>
            <b/>
            <sz val="9"/>
            <color indexed="81"/>
            <rFont val="Tahoma"/>
          </rPr>
          <t>Suruchi Ghosh:</t>
        </r>
        <r>
          <rPr>
            <sz val="9"/>
            <color indexed="81"/>
            <rFont val="Tahoma"/>
          </rPr>
          <t xml:space="preserve">
converted from kcal/kg</t>
        </r>
      </text>
    </comment>
    <comment ref="X9" authorId="1" shapeId="0" xr:uid="{570D4B31-8609-441A-82DD-77BE6090D441}">
      <text>
        <r>
          <rPr>
            <b/>
            <sz val="9"/>
            <color indexed="81"/>
            <rFont val="Tahoma"/>
            <family val="2"/>
          </rPr>
          <t>Suruchi Ghosh: 2024-25 data used</t>
        </r>
      </text>
    </comment>
    <comment ref="Z9" authorId="1" shapeId="0" xr:uid="{7A5E54ED-25E8-453A-B865-311502FB985A}">
      <text>
        <r>
          <rPr>
            <b/>
            <sz val="9"/>
            <color indexed="81"/>
            <rFont val="Tahoma"/>
            <family val="2"/>
          </rPr>
          <t>Suruchi Ghosh:</t>
        </r>
        <r>
          <rPr>
            <sz val="9"/>
            <color indexed="81"/>
            <rFont val="Tahoma"/>
            <family val="2"/>
          </rPr>
          <t xml:space="preserve">
Said yes but also " No any co-process alternative fuels/waste FY 2024-45" - check offline response</t>
        </r>
      </text>
    </comment>
    <comment ref="BO9" authorId="1" shapeId="0" xr:uid="{5E1A5A18-D674-4F25-A868-A4538FCDB486}">
      <text>
        <r>
          <rPr>
            <b/>
            <sz val="9"/>
            <color indexed="81"/>
            <rFont val="Tahoma"/>
            <family val="2"/>
          </rPr>
          <t>Suruchi Ghosh:</t>
        </r>
        <r>
          <rPr>
            <sz val="9"/>
            <color indexed="81"/>
            <rFont val="Tahoma"/>
            <family val="2"/>
          </rPr>
          <t xml:space="preserve">
Long list of measures has been provided, but not been selected from the given checkboxes. Please refer to full details in the offline response sheet.</t>
        </r>
      </text>
    </comment>
    <comment ref="CR9" authorId="1" shapeId="0" xr:uid="{C71DBC1D-EFB9-43E0-A7FB-5BABD8051036}">
      <text>
        <r>
          <rPr>
            <b/>
            <sz val="9"/>
            <color indexed="81"/>
            <rFont val="Tahoma"/>
            <family val="2"/>
          </rPr>
          <t>Suruchi Ghosh:</t>
        </r>
        <r>
          <rPr>
            <sz val="9"/>
            <color indexed="81"/>
            <rFont val="Tahoma"/>
            <family val="2"/>
          </rPr>
          <t xml:space="preserve">
% Given in offline repsonse - not in intensity</t>
        </r>
      </text>
    </comment>
    <comment ref="DG9" authorId="1" shapeId="0" xr:uid="{D8E72CA9-1F16-4C2B-B0F3-3AEB0BAFD2B6}">
      <text>
        <r>
          <rPr>
            <b/>
            <sz val="9"/>
            <color indexed="81"/>
            <rFont val="Tahoma"/>
            <family val="2"/>
          </rPr>
          <t>Suruchi Ghosh:</t>
        </r>
        <r>
          <rPr>
            <sz val="9"/>
            <color indexed="81"/>
            <rFont val="Tahoma"/>
            <family val="2"/>
          </rPr>
          <t xml:space="preserve">
Image for limits attached similar to other Ultra Tech plants</t>
        </r>
      </text>
    </comment>
    <comment ref="H10" authorId="1" shapeId="0" xr:uid="{64B7F50E-EE0D-43EE-B42B-53ACFB594199}">
      <text>
        <r>
          <rPr>
            <b/>
            <sz val="9"/>
            <color indexed="81"/>
            <rFont val="Tahoma"/>
          </rPr>
          <t>Suruchi Ghosh:</t>
        </r>
        <r>
          <rPr>
            <sz val="9"/>
            <color indexed="81"/>
            <rFont val="Tahoma"/>
          </rPr>
          <t xml:space="preserve">
answered: Kiln Line- 1 &amp;2  :  1980, Kiln Line -3  :  1995, DG Set                 :  2024, Kiln-4 :  2025</t>
        </r>
      </text>
    </comment>
    <comment ref="T10" authorId="1" shapeId="0" xr:uid="{078D6123-8613-4A53-9714-FCB7B2DDCF53}">
      <text>
        <r>
          <rPr>
            <b/>
            <sz val="9"/>
            <color indexed="81"/>
            <rFont val="Tahoma"/>
          </rPr>
          <t>Suruchi Ghosh:</t>
        </r>
        <r>
          <rPr>
            <sz val="9"/>
            <color indexed="81"/>
            <rFont val="Tahoma"/>
          </rPr>
          <t xml:space="preserve">
Extracted from answer to question 18 in offfline repsonse, not a part of the final survey questionnaire - please refer </t>
        </r>
      </text>
    </comment>
    <comment ref="X10" authorId="1" shapeId="0" xr:uid="{C8A1460F-A113-45C3-B22D-E48C139B62C9}">
      <text>
        <r>
          <rPr>
            <b/>
            <sz val="9"/>
            <color indexed="81"/>
            <rFont val="Tahoma"/>
          </rPr>
          <t>Suruchi Ghosh:</t>
        </r>
        <r>
          <rPr>
            <sz val="9"/>
            <color indexed="81"/>
            <rFont val="Tahoma"/>
          </rPr>
          <t xml:space="preserve">
Table given in offline response, please refer to the same</t>
        </r>
      </text>
    </comment>
    <comment ref="AC10" authorId="1" shapeId="0" xr:uid="{412B4606-C99E-4FAE-9BB6-379255644451}">
      <text>
        <r>
          <rPr>
            <b/>
            <sz val="9"/>
            <color indexed="81"/>
            <rFont val="Tahoma"/>
          </rPr>
          <t>Suruchi Ghosh:</t>
        </r>
        <r>
          <rPr>
            <sz val="9"/>
            <color indexed="81"/>
            <rFont val="Tahoma"/>
          </rPr>
          <t xml:space="preserve">
Response says both "monthly &amp; quarterly"</t>
        </r>
      </text>
    </comment>
    <comment ref="AE10" authorId="1" shapeId="0" xr:uid="{171E36FE-A16D-46D4-92C5-C3E6020C3F8E}">
      <text>
        <r>
          <rPr>
            <b/>
            <sz val="9"/>
            <color indexed="81"/>
            <rFont val="Tahoma"/>
          </rPr>
          <t>Suruchi Ghosh:</t>
        </r>
        <r>
          <rPr>
            <sz val="9"/>
            <color indexed="81"/>
            <rFont val="Tahoma"/>
          </rPr>
          <t xml:space="preserve">
total of all 4 lines given separately added, for FY 2024-25</t>
        </r>
      </text>
    </comment>
    <comment ref="AV10" authorId="1" shapeId="0" xr:uid="{DEBF61E6-F2BB-45E9-8376-8A3E42AE068A}">
      <text>
        <r>
          <rPr>
            <b/>
            <sz val="9"/>
            <color indexed="81"/>
            <rFont val="Tahoma"/>
          </rPr>
          <t>Suruchi Ghosh:</t>
        </r>
        <r>
          <rPr>
            <sz val="9"/>
            <color indexed="81"/>
            <rFont val="Tahoma"/>
          </rPr>
          <t xml:space="preserve">
Values given separately for diff types of cement - refer to offline response. "Total cement" values used</t>
        </r>
      </text>
    </comment>
    <comment ref="BB10" authorId="1" shapeId="0" xr:uid="{FBFB9700-033F-45D1-A2AB-6420C5D6B2DD}">
      <text>
        <r>
          <rPr>
            <b/>
            <sz val="9"/>
            <color indexed="81"/>
            <rFont val="Tahoma"/>
            <family val="2"/>
          </rPr>
          <t>Suruchi Ghosh:</t>
        </r>
        <r>
          <rPr>
            <sz val="9"/>
            <color indexed="81"/>
            <rFont val="Tahoma"/>
            <family val="2"/>
          </rPr>
          <t xml:space="preserve">
Values converted from million tonnes to tonnes </t>
        </r>
      </text>
    </comment>
    <comment ref="BJ10" authorId="1" shapeId="0" xr:uid="{A19BBB78-ABF3-4657-A32F-C9AB48240FBB}">
      <text>
        <r>
          <rPr>
            <b/>
            <sz val="9"/>
            <color indexed="81"/>
            <rFont val="Tahoma"/>
            <family val="2"/>
          </rPr>
          <t>Suruchi Ghosh:</t>
        </r>
        <r>
          <rPr>
            <sz val="9"/>
            <color indexed="81"/>
            <rFont val="Tahoma"/>
            <family val="2"/>
          </rPr>
          <t xml:space="preserve">
Categories do not align with the options in the sheet - please refer to offline response</t>
        </r>
      </text>
    </comment>
    <comment ref="BO10" authorId="1" shapeId="0" xr:uid="{82565EA9-3ADD-4109-83DB-08F6193A24D1}">
      <text>
        <r>
          <rPr>
            <b/>
            <sz val="9"/>
            <color indexed="81"/>
            <rFont val="Tahoma"/>
            <family val="2"/>
          </rPr>
          <t>Suruchi Ghosh:</t>
        </r>
        <r>
          <rPr>
            <sz val="9"/>
            <color indexed="81"/>
            <rFont val="Tahoma"/>
            <family val="2"/>
          </rPr>
          <t xml:space="preserve">
Long list of measures has been provided, but not been selected from the given checkboxes. Please refer to full details in the offline response sheet.</t>
        </r>
      </text>
    </comment>
    <comment ref="BR10" authorId="1" shapeId="0" xr:uid="{91304AB9-497F-4FC4-9DD6-90A6665E6353}">
      <text>
        <r>
          <rPr>
            <b/>
            <sz val="9"/>
            <color indexed="81"/>
            <rFont val="Tahoma"/>
            <family val="2"/>
          </rPr>
          <t>Suruchi Ghosh:</t>
        </r>
        <r>
          <rPr>
            <sz val="9"/>
            <color indexed="81"/>
            <rFont val="Tahoma"/>
            <family val="2"/>
          </rPr>
          <t xml:space="preserve">
given separately for separate lines - check offline sheet. Most common used</t>
        </r>
      </text>
    </comment>
    <comment ref="BU10" authorId="1" shapeId="0" xr:uid="{4D95DA59-4B34-4368-9060-35F11A04C957}">
      <text>
        <r>
          <rPr>
            <b/>
            <sz val="9"/>
            <color indexed="81"/>
            <rFont val="Tahoma"/>
            <family val="2"/>
          </rPr>
          <t>Suruchi Ghosh:</t>
        </r>
        <r>
          <rPr>
            <sz val="9"/>
            <color indexed="81"/>
            <rFont val="Tahoma"/>
            <family val="2"/>
          </rPr>
          <t xml:space="preserve">
FY 2024-45 Data used</t>
        </r>
      </text>
    </comment>
    <comment ref="CR10" authorId="1" shapeId="0" xr:uid="{3950EAC4-C460-4B41-9CED-F2C247503344}">
      <text>
        <r>
          <rPr>
            <b/>
            <sz val="9"/>
            <color indexed="81"/>
            <rFont val="Tahoma"/>
            <family val="2"/>
          </rPr>
          <t>Suruchi Ghosh:</t>
        </r>
        <r>
          <rPr>
            <sz val="9"/>
            <color indexed="81"/>
            <rFont val="Tahoma"/>
            <family val="2"/>
          </rPr>
          <t xml:space="preserve">
intensity not given, response reads "PPC can be classified as low carbon cement. Our PPC is approx. 58 to 62 % of total cement production."</t>
        </r>
      </text>
    </comment>
    <comment ref="DG10" authorId="1" shapeId="0" xr:uid="{0D4C0F56-D1D7-4362-93AA-BD17B1168D13}">
      <text>
        <r>
          <rPr>
            <b/>
            <sz val="9"/>
            <color indexed="81"/>
            <rFont val="Tahoma"/>
            <family val="2"/>
          </rPr>
          <t>Suruchi Ghosh:</t>
        </r>
        <r>
          <rPr>
            <sz val="9"/>
            <color indexed="81"/>
            <rFont val="Tahoma"/>
            <family val="2"/>
          </rPr>
          <t xml:space="preserve">
Image for limits attached similar to other Ultra Tech plants</t>
        </r>
      </text>
    </comment>
    <comment ref="DI10" authorId="1" shapeId="0" xr:uid="{FA4246CD-C72D-4763-92C2-DC5E739368DE}">
      <text>
        <r>
          <rPr>
            <b/>
            <sz val="9"/>
            <color indexed="81"/>
            <rFont val="Tahoma"/>
            <family val="2"/>
          </rPr>
          <t>Suruchi Ghosh:</t>
        </r>
        <r>
          <rPr>
            <sz val="9"/>
            <color indexed="81"/>
            <rFont val="Tahoma"/>
            <family val="2"/>
          </rPr>
          <t xml:space="preserve">
Offline response reads: Yes. Training conducted in once in 02 Years &amp; Job Specific training conducted once in year of HR Department.</t>
        </r>
      </text>
    </comment>
    <comment ref="H11" authorId="1" shapeId="0" xr:uid="{0E435167-8C2E-4A4D-837D-E476D6A47D48}">
      <text>
        <r>
          <rPr>
            <b/>
            <sz val="9"/>
            <color indexed="81"/>
            <rFont val="Tahoma"/>
            <family val="2"/>
          </rPr>
          <t>Suruchi Ghosh:</t>
        </r>
        <r>
          <rPr>
            <sz val="9"/>
            <color indexed="81"/>
            <rFont val="Tahoma"/>
            <family val="2"/>
          </rPr>
          <t xml:space="preserve">
full response says 2018 for 'L1' and 2022 for 'L2'
</t>
        </r>
      </text>
    </comment>
    <comment ref="P11" authorId="1" shapeId="0" xr:uid="{66E14762-225D-4734-B54B-C34E9C153E97}">
      <text>
        <r>
          <rPr>
            <b/>
            <sz val="9"/>
            <color indexed="81"/>
            <rFont val="Tahoma"/>
            <family val="2"/>
          </rPr>
          <t>Suruchi Ghosh:</t>
        </r>
        <r>
          <rPr>
            <sz val="9"/>
            <color indexed="81"/>
            <rFont val="Tahoma"/>
            <family val="2"/>
          </rPr>
          <t xml:space="preserve">
L2 for 2024-25 used, check offline response for full response for L1 &amp; L2</t>
        </r>
      </text>
    </comment>
    <comment ref="T11" authorId="1" shapeId="0" xr:uid="{833D8356-1F46-4871-A00E-EA0594D25A00}">
      <text>
        <r>
          <rPr>
            <b/>
            <sz val="9"/>
            <color indexed="81"/>
            <rFont val="Tahoma"/>
            <family val="2"/>
          </rPr>
          <t>Suruchi Ghosh:</t>
        </r>
        <r>
          <rPr>
            <sz val="9"/>
            <color indexed="81"/>
            <rFont val="Tahoma"/>
            <family val="2"/>
          </rPr>
          <t xml:space="preserve">
Taken from answer to Q18 in the offline survey - not in the final response, refer to offline sheet</t>
        </r>
      </text>
    </comment>
    <comment ref="X11" authorId="1" shapeId="0" xr:uid="{768F93FB-84E6-44E2-AC38-ABA71503AC84}">
      <text>
        <r>
          <rPr>
            <b/>
            <sz val="9"/>
            <color indexed="81"/>
            <rFont val="Tahoma"/>
            <family val="2"/>
          </rPr>
          <t>Suruchi Ghosh:</t>
        </r>
        <r>
          <rPr>
            <sz val="9"/>
            <color indexed="81"/>
            <rFont val="Tahoma"/>
            <family val="2"/>
          </rPr>
          <t xml:space="preserve">
value for "specific heat consumption kcal/kg clinker" used for FY 24-25, check offline response for full table</t>
        </r>
      </text>
    </comment>
    <comment ref="AU11" authorId="1" shapeId="0" xr:uid="{EA52526D-1388-4332-927F-9AAE20C5B044}">
      <text>
        <r>
          <rPr>
            <b/>
            <sz val="9"/>
            <color indexed="81"/>
            <rFont val="Tahoma"/>
            <family val="2"/>
          </rPr>
          <t>Suruchi Ghosh:</t>
        </r>
        <r>
          <rPr>
            <sz val="9"/>
            <color indexed="81"/>
            <rFont val="Tahoma"/>
            <family val="2"/>
          </rPr>
          <t xml:space="preserve">
Answered "yes like as fly ash, slag, etc"</t>
        </r>
      </text>
    </comment>
    <comment ref="BQ11" authorId="1" shapeId="0" xr:uid="{B752192E-6E68-40E2-AA24-721E05B3BC52}">
      <text>
        <r>
          <rPr>
            <b/>
            <sz val="9"/>
            <color indexed="81"/>
            <rFont val="Tahoma"/>
            <family val="2"/>
          </rPr>
          <t>Suruchi Ghosh:</t>
        </r>
        <r>
          <rPr>
            <sz val="9"/>
            <color indexed="81"/>
            <rFont val="Tahoma"/>
            <family val="2"/>
          </rPr>
          <t xml:space="preserve">
Used data for WHRS Line-1 , 2 lines given separately in offline response - please refer </t>
        </r>
      </text>
    </comment>
    <comment ref="DG11" authorId="1" shapeId="0" xr:uid="{60BC2135-1446-4719-A3DE-75B125B84564}">
      <text>
        <r>
          <rPr>
            <b/>
            <sz val="9"/>
            <color indexed="81"/>
            <rFont val="Tahoma"/>
            <family val="2"/>
          </rPr>
          <t>Suruchi Ghosh:</t>
        </r>
        <r>
          <rPr>
            <sz val="9"/>
            <color indexed="81"/>
            <rFont val="Tahoma"/>
            <family val="2"/>
          </rPr>
          <t xml:space="preserve">
Image for limits attached similar to other Ultra Tech plants</t>
        </r>
      </text>
    </comment>
    <comment ref="DI11" authorId="1" shapeId="0" xr:uid="{B058F9CF-A995-4AB8-BCBA-D838657ADFE3}">
      <text>
        <r>
          <rPr>
            <b/>
            <sz val="9"/>
            <color indexed="81"/>
            <rFont val="Tahoma"/>
            <family val="2"/>
          </rPr>
          <t>Suruchi Ghosh:</t>
        </r>
        <r>
          <rPr>
            <sz val="9"/>
            <color indexed="81"/>
            <rFont val="Tahoma"/>
            <family val="2"/>
          </rPr>
          <t xml:space="preserve">
Offline response reads: Yes. Training conducted in once in 02 Years &amp; Job Specific training conducted once in year of HR Department.</t>
        </r>
      </text>
    </comment>
    <comment ref="P12" authorId="1" shapeId="0" xr:uid="{E3927E6E-68D1-4E33-89A5-ED140D4F18E3}">
      <text>
        <r>
          <rPr>
            <b/>
            <sz val="9"/>
            <color indexed="81"/>
            <rFont val="Tahoma"/>
          </rPr>
          <t>Suruchi Ghosh:</t>
        </r>
        <r>
          <rPr>
            <sz val="9"/>
            <color indexed="81"/>
            <rFont val="Tahoma"/>
          </rPr>
          <t xml:space="preserve">
Average for all 3 lines taken for year 2024-25</t>
        </r>
      </text>
    </comment>
    <comment ref="AI12" authorId="1" shapeId="0" xr:uid="{FC20C879-C0F5-4EE5-8B4A-52279E2B0A7E}">
      <text>
        <r>
          <rPr>
            <b/>
            <sz val="9"/>
            <color indexed="81"/>
            <rFont val="Tahoma"/>
          </rPr>
          <t>Suruchi Ghosh
for FY 2024-25</t>
        </r>
      </text>
    </comment>
    <comment ref="Z13" authorId="1" shapeId="0" xr:uid="{EFE2F699-7BEE-4B82-B8BD-050779D63871}">
      <text>
        <r>
          <rPr>
            <b/>
            <sz val="9"/>
            <color indexed="81"/>
            <rFont val="Tahoma"/>
          </rPr>
          <t>Suruchi Ghosh:</t>
        </r>
        <r>
          <rPr>
            <sz val="9"/>
            <color indexed="81"/>
            <rFont val="Tahoma"/>
          </rPr>
          <t xml:space="preserve">
Inserted table in appendix in offline response - does not exactly answer our categories</t>
        </r>
      </text>
    </comment>
    <comment ref="BS13" authorId="1" shapeId="0" xr:uid="{6737C6FF-F943-4B99-A5E3-43BE7B265FCB}">
      <text>
        <r>
          <rPr>
            <b/>
            <sz val="9"/>
            <color indexed="81"/>
            <rFont val="Tahoma"/>
            <family val="2"/>
          </rPr>
          <t>Suruchi Ghosh:</t>
        </r>
        <r>
          <rPr>
            <sz val="9"/>
            <color indexed="81"/>
            <rFont val="Tahoma"/>
            <family val="2"/>
          </rPr>
          <t xml:space="preserve">
converted from 55.169 lakh Kwh to MW</t>
        </r>
      </text>
    </comment>
    <comment ref="H14" authorId="1" shapeId="0" xr:uid="{3D692B87-FCF1-4DB2-96CC-CCA5BBBFE229}">
      <text>
        <r>
          <rPr>
            <b/>
            <sz val="9"/>
            <color indexed="81"/>
            <rFont val="Tahoma"/>
            <family val="2"/>
          </rPr>
          <t>Suruchi Ghosh:</t>
        </r>
        <r>
          <rPr>
            <sz val="9"/>
            <color indexed="81"/>
            <rFont val="Tahoma"/>
            <family val="2"/>
          </rPr>
          <t xml:space="preserve">
Line 1 year plant commissioned year</t>
        </r>
      </text>
    </comment>
    <comment ref="P14" authorId="1" shapeId="0" xr:uid="{141061E2-92E5-4DB4-A68B-54AF2114510C}">
      <text>
        <r>
          <rPr>
            <b/>
            <sz val="9"/>
            <color indexed="81"/>
            <rFont val="Tahoma"/>
            <family val="2"/>
          </rPr>
          <t>Suruchi Ghosh:</t>
        </r>
        <r>
          <rPr>
            <sz val="9"/>
            <color indexed="81"/>
            <rFont val="Tahoma"/>
            <family val="2"/>
          </rPr>
          <t xml:space="preserve">
Both lines average taken</t>
        </r>
      </text>
    </comment>
    <comment ref="BO14" authorId="1" shapeId="0" xr:uid="{CD70FCBA-BD36-4E4B-BB5F-67B25D4FE1AC}">
      <text>
        <r>
          <rPr>
            <b/>
            <sz val="9"/>
            <color indexed="81"/>
            <rFont val="Tahoma"/>
            <family val="2"/>
          </rPr>
          <t>Suruchi Ghosh:</t>
        </r>
        <r>
          <rPr>
            <sz val="9"/>
            <color indexed="81"/>
            <rFont val="Tahoma"/>
            <family val="2"/>
          </rPr>
          <t xml:space="preserve">
Their listed measures do not match the boxes in thr survey</t>
        </r>
      </text>
    </comment>
    <comment ref="DI14" authorId="1" shapeId="0" xr:uid="{669D7E56-D226-4EF2-BC12-D0F1B31755A4}">
      <text>
        <r>
          <rPr>
            <b/>
            <sz val="9"/>
            <color indexed="81"/>
            <rFont val="Tahoma"/>
            <family val="2"/>
          </rPr>
          <t>Suruchi Ghosh:</t>
        </r>
        <r>
          <rPr>
            <sz val="9"/>
            <color indexed="81"/>
            <rFont val="Tahoma"/>
            <family val="2"/>
          </rPr>
          <t xml:space="preserve">
full text reads: Daily Tool Box Talk and Yearly classroom training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Suruchi Ghosh</author>
  </authors>
  <commentList>
    <comment ref="C74" authorId="0" shapeId="0" xr:uid="{A78C4013-E39B-467C-A28C-7CA574ECDEB0}">
      <text>
        <r>
          <rPr>
            <b/>
            <sz val="9"/>
            <color indexed="81"/>
            <rFont val="Tahoma"/>
          </rPr>
          <t xml:space="preserve">Suruchi Ghosh:
</t>
        </r>
        <r>
          <rPr>
            <sz val="9"/>
            <color indexed="81"/>
            <rFont val="Tahoma"/>
            <family val="2"/>
          </rPr>
          <t xml:space="preserve">Value for 'Thermal Energy as Specific Heat' picked up from the original response for FY 2024-25
</t>
        </r>
      </text>
    </comment>
    <comment ref="C78" authorId="0" shapeId="0" xr:uid="{26FC35D7-D507-46A6-A1CD-6F9CB8588C50}">
      <text>
        <r>
          <rPr>
            <b/>
            <sz val="9"/>
            <color indexed="81"/>
            <rFont val="Tahoma"/>
            <family val="2"/>
          </rPr>
          <t>Suruchi Ghosh: 2024-25 data used</t>
        </r>
      </text>
    </comment>
    <comment ref="C79" authorId="0" shapeId="0" xr:uid="{C2D002CC-21C4-4FD7-9A68-DFBC89D2762D}">
      <text>
        <r>
          <rPr>
            <b/>
            <sz val="9"/>
            <color indexed="81"/>
            <rFont val="Tahoma"/>
          </rPr>
          <t>Suruchi Ghosh:</t>
        </r>
        <r>
          <rPr>
            <sz val="9"/>
            <color indexed="81"/>
            <rFont val="Tahoma"/>
          </rPr>
          <t xml:space="preserve">
Table given in offline response, please refer to the same</t>
        </r>
      </text>
    </comment>
    <comment ref="C80" authorId="0" shapeId="0" xr:uid="{20DE2634-1799-44DB-83D7-34E4D0698E3B}">
      <text>
        <r>
          <rPr>
            <b/>
            <sz val="9"/>
            <color indexed="81"/>
            <rFont val="Tahoma"/>
            <family val="2"/>
          </rPr>
          <t>Suruchi Ghosh:</t>
        </r>
        <r>
          <rPr>
            <sz val="9"/>
            <color indexed="81"/>
            <rFont val="Tahoma"/>
            <family val="2"/>
          </rPr>
          <t xml:space="preserve">
value for "specific heat consumption kcal/kg clinker" used for FY 24-25, check offline response for full table</t>
        </r>
      </text>
    </comment>
  </commentList>
</comments>
</file>

<file path=xl/sharedStrings.xml><?xml version="1.0" encoding="utf-8"?>
<sst xmlns="http://schemas.openxmlformats.org/spreadsheetml/2006/main" count="1479" uniqueCount="659">
  <si>
    <t xml:space="preserve">S. No. </t>
  </si>
  <si>
    <t>1.Plant name</t>
  </si>
  <si>
    <t>2.Plant location (District)</t>
  </si>
  <si>
    <t>3.Contact Person Name</t>
  </si>
  <si>
    <t>4.Contact Person Designation</t>
  </si>
  <si>
    <t>5.Mobile no</t>
  </si>
  <si>
    <t>6. Email  id</t>
  </si>
  <si>
    <t>7.Year plant 
commissioned
 (for eg.2008)</t>
  </si>
  <si>
    <t xml:space="preserve">8.Installed clinker production (Tonnes/Yr) capacity </t>
  </si>
  <si>
    <t xml:space="preserve">9. Typical annual clinker production
 of last 3 years (tonnes): </t>
  </si>
  <si>
    <t>10. Typical annual cement 
production last 3 years (Tonnes)</t>
  </si>
  <si>
    <t>11.Current average kiln 
operating hours per year (Eg.7380 hours per/ year)</t>
  </si>
  <si>
    <t>12.Number of production lines / kiln type (For eg: 1 Clinker production line 
consisting of a 5 -satge preheater with precalciner, dry-process rotary kiln 
(capacity ~6000 TPD Clinker)</t>
  </si>
  <si>
    <t xml:space="preserve">13. List fuels used for process heat (primary and secondary) 
and fuel share by energy </t>
  </si>
  <si>
    <t xml:space="preserve">
14. Average kiln thermal energy consumption (kcal/kg clinker)</t>
  </si>
  <si>
    <t xml:space="preserve"> 15. Do you co-process alternative fuels / waste?
 (Yes/No)</t>
  </si>
  <si>
    <t xml:space="preserve">16.a. If yes, list types and annual tonnage </t>
  </si>
  <si>
    <t>17. Do you maintain Fuel quality certificates /analysis</t>
  </si>
  <si>
    <t>18. If  yes, Frequency</t>
  </si>
  <si>
    <t>19. Typical kiln combustion
temperature range  (°C)</t>
  </si>
  <si>
    <t>20. Annual electricity consumption (MWh) for the plant 
and split by major sections if available (clinker line, grinding, auxiliaries, offices):</t>
  </si>
  <si>
    <t>21. Peak Electrical Demand (MW)</t>
  </si>
  <si>
    <t>22.  Do you have on-site power generation?</t>
  </si>
  <si>
    <t>23.a. If yes, type and capacity</t>
  </si>
  <si>
    <t>24. Do you import/export electricity 
to the grid?
(import only / export only / both / neither)</t>
  </si>
  <si>
    <t>25. Grid emission factor used for 
reporting (kg COze/kWh)and source (for eg. CEA, DISCOM, IPCC)</t>
  </si>
  <si>
    <t>26.Do you have Renewable 
energy procurement (PPA, RECs) or on-site PV/wind)</t>
  </si>
  <si>
    <t>27.a. If yes, capacity &amp;
 generation</t>
  </si>
  <si>
    <t>28. Clinker factor in cement 
(typical % clinker in final cement)</t>
  </si>
  <si>
    <t xml:space="preserve">29. Types and shares of supplementary 
cementitious materials (SCMs) used </t>
  </si>
  <si>
    <t xml:space="preserve">30. Annual consumption of major raw materials
 (limestone, clay, sand, iron ore, additives) in MT for the last three financial years </t>
  </si>
  <si>
    <t>31. Do you use any alternative 
raw
 materials or industrial by-products as inputs (e.g., fly ash, slag, waste gypsum, red mud)?</t>
  </si>
  <si>
    <t xml:space="preserve">31.a. If yes, please list each material
 and provide the annual quantity used for the last three years (tonnes/year) </t>
  </si>
  <si>
    <t>32. Is raw material pre-blending or homogenization implemented?. Describe briefly</t>
  </si>
  <si>
    <t>32.a. if Yes, Describe briefly</t>
  </si>
  <si>
    <t>33. Do you maintain a documented 
energy management system (e.g., ISO 50001)?</t>
  </si>
  <si>
    <t>33.a. If yes, which and since 
which year?</t>
  </si>
  <si>
    <t>34. List major energy-efficiency measures installed 
(e.g., high-efficiency fans, preheater upgrades, cooler upgrades, variable-speed drives)</t>
  </si>
  <si>
    <t>Others: Specify</t>
  </si>
  <si>
    <t>35. Do you have Waste Heat
 Recovery (WHR) systems?</t>
  </si>
  <si>
    <t>35.a. If yes: technology 
(ORC/steam turbine), capacity (MW), commissioning year, annual generation (MWh)</t>
  </si>
  <si>
    <t>36. Average clinker-specific
 electrical consumption (kWh/tonne clinker)</t>
  </si>
  <si>
    <t xml:space="preserve">37. Are process control and 
automation systems in place (DCS, advanced process control)? </t>
  </si>
  <si>
    <t xml:space="preserve">37.a. if Yes,
 Describe </t>
  </si>
  <si>
    <t xml:space="preserve">38. Do you measure/process 
CO₂ emissions separately for: (a) process (calcination) and (b) combustion? </t>
  </si>
  <si>
    <t>39.a.— Provide 
method</t>
  </si>
  <si>
    <t xml:space="preserve">40. Annual CO₂ emissions (most recent year) 
— total, process (calcination), combustion (fuel), and electricity </t>
  </si>
  <si>
    <t>41. Do you report emissions under any standard / 
scheme? (e.g., national inventory, ISO 14064, ETS, CDP) — specify</t>
  </si>
  <si>
    <t>42.a.If Yes, Describe</t>
  </si>
  <si>
    <t>43. Frequency of emissions 
monitoring/reporting: (continuous / daily / monthly / annually)</t>
  </si>
  <si>
    <t>44. Do you quantify
 other GHGs
 (CH₄, N₂O)?</t>
  </si>
  <si>
    <t>45.a. If yes, provide
 values or method</t>
  </si>
  <si>
    <t xml:space="preserve">46. Have you evaluated
or piloted hydrogen, electrification (e.g., electric calciner), or biomass substitution? </t>
  </si>
  <si>
    <t>47.a. If yes, Describe
 status &amp; results</t>
  </si>
  <si>
    <t>48. Are you assessing 
or implementing Carbon Capture (CCS/CCU)?</t>
  </si>
  <si>
    <t>49.a.If pilot/commercial, 
give capture capacity (tCO₂/year), technology, and status</t>
  </si>
  <si>
    <t xml:space="preserve">50. Are you using clinker substitute 
technologies (Belite-rich clinker, LC3, calcium looping, etc.)? </t>
  </si>
  <si>
    <t>51.a.If yes, which and at what scale ?</t>
  </si>
  <si>
    <t xml:space="preserve">52. Do you participate 
in R&amp;D partnerships with universities or technology providers? </t>
  </si>
  <si>
    <t>53.a. If yes, list partners</t>
  </si>
  <si>
    <t xml:space="preserve">54. Do you offer low-carbon 
cement products (e.g., blended cements, EPD-backed, low- clinker cement)? </t>
  </si>
  <si>
    <t>55. a. If yes, list product names and estimated CO₂ intensity
 (kg CO₂e/tonnes)</t>
  </si>
  <si>
    <t xml:space="preserve">56. Do you have cradle-to
-gate life cycle assessments (LCAs) or Environmental Product Declarations (EPDs)? </t>
  </si>
  <si>
    <t>57.a.If yes, please provide
 year and scope of assessment ?</t>
  </si>
  <si>
    <t>58. Typical packaging types
and weights per tonne (bagged, bulk)</t>
  </si>
  <si>
    <t>59. Estimated current CO₂
 price or internal carbon cost used in decision making (USD or local currency / tCO₂)</t>
  </si>
  <si>
    <t>60. Are there government 
incentives, grants, or tax credits available/used for low-carbon investments?</t>
  </si>
  <si>
    <t>61.a. If Yes,Please 
Describe incentives</t>
  </si>
  <si>
    <t>62. Approximate capital cost
 estimates (or ranges) for major decarbonization techonology you have considered (WHR, CCS, alternative fuels handling, electrification): (short text / numeric ranges)</t>
  </si>
  <si>
    <t xml:space="preserve">63. Does the plant maintain
 a budget or roadmap for decarbonization? </t>
  </si>
  <si>
    <t>64.a.If yes or no, share target year for
 net-zero or % reduction target</t>
  </si>
  <si>
    <t>65. Any regulatory constraints affecting
 fuel switching or waste co-processing?</t>
  </si>
  <si>
    <t>66.a.If Yes or No, Describe</t>
  </si>
  <si>
    <t xml:space="preserve">67. Are there air-quality /
emission permits that limit adoption of alternative fuels? </t>
  </si>
  <si>
    <t>68.a.If yes, provide permit 
references and limits</t>
  </si>
  <si>
    <t>69. Are workers trained for handling 
alternative fuels and CCS operations?</t>
  </si>
  <si>
    <t>70.a.If yes, then state Frequency
 of training (Monthly/Quarterly/ Bi Annually/ Annually)</t>
  </si>
  <si>
    <t>71. What do you see as the top 5 barriers to 
decarbonization at this plant? (examples: capital cost, fuel supply, regulatory, technical risk, product quality, market demand)</t>
  </si>
  <si>
    <t>72. What are the top 5 internal 
strengths or enablers do you have (examples: strong cash flow, supportive management, R&amp;D, existing WHR)</t>
  </si>
  <si>
    <t>73. Do you have a cross-functional
 decarbonization team?</t>
  </si>
  <si>
    <t>73.a. who's on it (roles such as plant head, 
energy manager, process &amp; kiln engineer, etc)</t>
  </si>
  <si>
    <t xml:space="preserve">74. Would you be willing to host
pilot projects or data-sharing partnerships? </t>
  </si>
  <si>
    <t>75.a.If yes or maybe, 
the specify any conditions</t>
  </si>
  <si>
    <t>id</t>
  </si>
  <si>
    <t>uuid</t>
  </si>
  <si>
    <t>Submission Time</t>
  </si>
  <si>
    <t>Validation Status</t>
  </si>
  <si>
    <t>Notes</t>
  </si>
  <si>
    <t>Status</t>
  </si>
  <si>
    <t>Submitted By</t>
  </si>
  <si>
    <t>Version</t>
  </si>
  <si>
    <t>Tags</t>
  </si>
  <si>
    <t>meta/root Uuid</t>
  </si>
  <si>
    <t>Index</t>
  </si>
  <si>
    <t>Colour
Code</t>
  </si>
  <si>
    <t>Yes/No/Partial Question</t>
  </si>
  <si>
    <t>Sub Categories</t>
  </si>
  <si>
    <t>Unanswered in response</t>
  </si>
  <si>
    <t>2022-23</t>
  </si>
  <si>
    <t>2023-24</t>
  </si>
  <si>
    <t>2024-25</t>
  </si>
  <si>
    <t>Name of Fuel Type</t>
  </si>
  <si>
    <t>Quantity (In Tonnes)</t>
  </si>
  <si>
    <t xml:space="preserve">Supplier </t>
  </si>
  <si>
    <t>Country Of Origin</t>
  </si>
  <si>
    <t>Calorific Value (MJ/kg)</t>
  </si>
  <si>
    <t>% Thermal Energy</t>
  </si>
  <si>
    <t>Type</t>
  </si>
  <si>
    <t>Annual Quantity (MT)</t>
  </si>
  <si>
    <t xml:space="preserve">Clinker </t>
  </si>
  <si>
    <t>Grinding</t>
  </si>
  <si>
    <t>Auxiliaries</t>
  </si>
  <si>
    <t>Offices</t>
  </si>
  <si>
    <t>Others</t>
  </si>
  <si>
    <t>Capacity (MW)</t>
  </si>
  <si>
    <t>Capacity (MWh)</t>
  </si>
  <si>
    <t>Annual Generation 
(KWh)</t>
  </si>
  <si>
    <t>SCM Type</t>
  </si>
  <si>
    <t>Share of 
Cement (%)</t>
  </si>
  <si>
    <t xml:space="preserve"> 2022-23</t>
  </si>
  <si>
    <t>Raw Material</t>
  </si>
  <si>
    <t>Name of System</t>
  </si>
  <si>
    <t>Year of Implementation</t>
  </si>
  <si>
    <t>High Efficiency Fans</t>
  </si>
  <si>
    <t>Preheater Upgrades</t>
  </si>
  <si>
    <t>Cooler Upgrades</t>
  </si>
  <si>
    <t>Variable Speed Drives</t>
  </si>
  <si>
    <t>WHR Present</t>
  </si>
  <si>
    <t xml:space="preserve">Technology </t>
  </si>
  <si>
    <t>Commissioning Year</t>
  </si>
  <si>
    <t>Annual Generation (MWh)</t>
  </si>
  <si>
    <t>Emission Source</t>
  </si>
  <si>
    <t>CO2 emissions (Kgs)</t>
  </si>
  <si>
    <t>Product Name</t>
  </si>
  <si>
    <t>Estimated CO2
 Frequency</t>
  </si>
  <si>
    <t>Since from which year have you started offering low-carbon cement products?</t>
  </si>
  <si>
    <t>Technology</t>
  </si>
  <si>
    <t>Cost (Crores)</t>
  </si>
  <si>
    <t>Top 5 barriers</t>
  </si>
  <si>
    <t>Remarks</t>
  </si>
  <si>
    <t>Top 5 Strengths</t>
  </si>
  <si>
    <t>Sagar Cements (M) Pvt. Ltd.</t>
  </si>
  <si>
    <t xml:space="preserve"> Dhar</t>
  </si>
  <si>
    <t>Dr. Akash Pandey</t>
  </si>
  <si>
    <t>akash.pandey@sagarcements.in</t>
  </si>
  <si>
    <t>One / Dry Process / PH Calciner</t>
  </si>
  <si>
    <t>1. Pet Coke
2. Indian Coal (G-10)
3. Indian Coal (G-8)
4. Carbonaceous Shale
5. US origin Coal 
6. AFR - Plastic Waste
7. AFR - Bio Mass</t>
  </si>
  <si>
    <t>1. 28.54 
2. 14.55 
3. 17.28
4. 0
5. 26.77 
6. 10.97
7. 14.30</t>
  </si>
  <si>
    <t>Yes</t>
  </si>
  <si>
    <t>1) AFR - Plastic Waste
2) AFR - Bio Mass</t>
  </si>
  <si>
    <t>1) 309.299
2) 628.889</t>
  </si>
  <si>
    <t>Refer to offline response sheet</t>
  </si>
  <si>
    <t>1100-1300</t>
  </si>
  <si>
    <t>1. Total Cement Mill - 19694.432
2. Total Packing - 867.882 
3. Utility - 2561.032</t>
  </si>
  <si>
    <t>Water Tube Boiler 
(WHRS)</t>
  </si>
  <si>
    <t>Import Only</t>
  </si>
  <si>
    <t>0.727 as per GHG protocol</t>
  </si>
  <si>
    <t>Solar System</t>
  </si>
  <si>
    <t>1. Clinker
2. Fly Ash
3. Gypsum</t>
  </si>
  <si>
    <t>1. 60%
2. 35%
3. 5%</t>
  </si>
  <si>
    <r>
      <rPr>
        <b/>
        <sz val="11"/>
        <color theme="1"/>
        <rFont val="Calibri"/>
        <family val="2"/>
        <scheme val="minor"/>
      </rPr>
      <t>Limestone</t>
    </r>
    <r>
      <rPr>
        <sz val="11"/>
        <color theme="1"/>
        <rFont val="Calibri"/>
        <family val="2"/>
        <scheme val="minor"/>
      </rPr>
      <t xml:space="preserve"> - 1048276
</t>
    </r>
    <r>
      <rPr>
        <b/>
        <sz val="11"/>
        <color theme="1"/>
        <rFont val="Calibri"/>
        <family val="2"/>
        <scheme val="minor"/>
      </rPr>
      <t>Others:</t>
    </r>
    <r>
      <rPr>
        <sz val="11"/>
        <color theme="1"/>
        <rFont val="Calibri"/>
        <family val="2"/>
        <scheme val="minor"/>
      </rPr>
      <t xml:space="preserve">
1) Red Ocher Dry - 15539.020
2) Laterite Grade Iron - 3551
3) Murrum Dry/Basalt - 48428
4) Feldspar - 1411.840</t>
    </r>
  </si>
  <si>
    <r>
      <rPr>
        <b/>
        <sz val="11"/>
        <color theme="1"/>
        <rFont val="Calibri"/>
        <family val="2"/>
        <scheme val="minor"/>
      </rPr>
      <t xml:space="preserve"> Limestone </t>
    </r>
    <r>
      <rPr>
        <sz val="11"/>
        <color theme="1"/>
        <rFont val="Calibri"/>
        <family val="2"/>
        <scheme val="minor"/>
      </rPr>
      <t xml:space="preserve">- 1122700.690
</t>
    </r>
    <r>
      <rPr>
        <b/>
        <sz val="11"/>
        <color theme="1"/>
        <rFont val="Calibri"/>
        <family val="2"/>
        <scheme val="minor"/>
      </rPr>
      <t xml:space="preserve">Others: </t>
    </r>
    <r>
      <rPr>
        <sz val="11"/>
        <color theme="1"/>
        <rFont val="Calibri"/>
        <family val="2"/>
        <scheme val="minor"/>
      </rPr>
      <t xml:space="preserve">
1) Red Ocher Dry - 8339
2) Copper Slag Dry - 2719.310
3) Laterite Grade Iron - 12071
4) Murrum Dry/Basalt - 28784
5) Feldspar - 1411.840</t>
    </r>
  </si>
  <si>
    <t>1. Fly Ash
2. AOD Slag
3. FGD Gypsum
4. Copper Slag</t>
  </si>
  <si>
    <t>1. 102562
2. NA
3. NA
4. NA</t>
  </si>
  <si>
    <t>1. 101865
2. NA
3. NA 
4. 2719.310</t>
  </si>
  <si>
    <t>For lime stone , we have pre blending 
system of stacker and reclaimer and for raw meal we have blending silo for homogenization</t>
  </si>
  <si>
    <t>No</t>
  </si>
  <si>
    <t>WHRS, Capacitor Banks to increase 
power factor</t>
  </si>
  <si>
    <t>WHRS</t>
  </si>
  <si>
    <t>Water Tube Boiler 
(ORC/Steam Turbine)</t>
  </si>
  <si>
    <t xml:space="preserve"> Programmable Logic Controller</t>
  </si>
  <si>
    <t>Global Cement and
 Concrete Association (GCCA)</t>
  </si>
  <si>
    <t xml:space="preserve">1. Gross CO2 Emission from raw materials 
(Calcination) 
2. Gross CO2 fuel emission including AF and Biomass (Kiln)
3. Gross CO2 emission from internal transport and equipment
4. Gross CO2 emission from other source
5. Scope 2 Absolute CO2 emission (purchased energy) </t>
  </si>
  <si>
    <t>1. 354532
2. 196820
3. 136
4. 111.03
5. 30759</t>
  </si>
  <si>
    <t xml:space="preserve">Emissions are reported and consolidated in accordance with the GHG 
Protocol. Disclosure is made through CDP, and a “B” rating was secured in the 2025 for Climate Change. </t>
  </si>
  <si>
    <t>Monthly</t>
  </si>
  <si>
    <t xml:space="preserve">Other GHG sources are quantified, 
including refrigerant top-ups, which are monitored and recorded on a monthly basis. </t>
  </si>
  <si>
    <t>We are evaluating Biomass
 as alternative fuel and installation of system under process</t>
  </si>
  <si>
    <t>NA</t>
  </si>
  <si>
    <t>Portland Pozzolana Cement
(Blended Cement)</t>
  </si>
  <si>
    <t>We are currently evaluating internal carbon price
 for sagar cements however for every project we are evaluating the cost associated for decarbonization, CCTS cost and available incentives like EPR</t>
  </si>
  <si>
    <t>Target year for Net Zero is 2050.
 Group level Target is  Long Term Targets: Sagar Cements Limited (Group) commits to reduce gross Scope 1 and 2 GHG emissions 95.1% per tonne of cementitious product by FY 2050 from a FY 2023 base year. Sagar Cements Limited also commits to reduce Scope 3 GHG emissions 97% per tonne of cement produced within the same timeframe</t>
  </si>
  <si>
    <t>Co-processing is being carried
 out in compliance with MoEFCC guidelines. 
AFR feeding systems are under implementation, and fuel switching is being actively encouraged within the prevailing regulatory framework and approvals</t>
  </si>
  <si>
    <t xml:space="preserve">1. High capital and operating costs associated with deploying low-carbon technologies
2. alternative fuel systems and CCUS.
3. Inconsistent and unreliable supply of alternative fuels, limiting sustained fuel substitution
4. operational continuity. </t>
  </si>
  <si>
    <t>Strong leadership commitment to decarbonization is
 demonstrated through sustained management focus, a defined ESG framework, and clear group-level ESG roadmap targets. A 5.3 MW Waste Heat Recovery System is already operational, strengthening energy efficiency and emissions reduction with assured budgetary support. In addition, continuous group-level investment in R&amp;D (around INR 90 lakh) enables innovation and deployment of low-carbon technologies. </t>
  </si>
  <si>
    <t>A cross-functional decarbonization 
team has been established, with dedicated teams aligned to six environmental material topics, including energy, emissions, and biodiversity. Each team comprises representatives from operations, environment, maintenance, and management, working regularly toward defined targets with a 2050 net-zero goal. </t>
  </si>
  <si>
    <t xml:space="preserve">Yes </t>
  </si>
  <si>
    <t>dc11d942-0711-4cea-a1aa-e7a7a93f767d</t>
  </si>
  <si>
    <t>submitted_via_web</t>
  </si>
  <si>
    <t>vJew8JoV8tBpNkiD6hv4LK</t>
  </si>
  <si>
    <t>uuid:dc11d942-0711-4cea-a1aa-e7a7a93f767d</t>
  </si>
  <si>
    <t>UltraTech Cement Limited, 
Unit: Vikram Cement Works</t>
  </si>
  <si>
    <t>Neemuch</t>
  </si>
  <si>
    <t>Mr. Avasa Mishra</t>
  </si>
  <si>
    <t>Joint President &amp; Unit Head</t>
  </si>
  <si>
    <t>utcl-vcw.cpcb@adityabirla.com</t>
  </si>
  <si>
    <t>Production Line – Line – I: 2850 TPD
Line – II: 2850 TPD &amp; Line – III: 4200 TPD.
Kiln Line – I &amp; II: Separate Line Calciner (SLC) &amp; 
Kiln Line - III: Inline Calciner (ILC)</t>
  </si>
  <si>
    <t>1. Coal
2. Coal
3. Pet Coke
4. Pet Coke 
5. Biomass
6. Others AFR</t>
  </si>
  <si>
    <t>1. Domestic
2. Imported
3. Domestic
4. Imported
5. Domestic
6. Domestic</t>
  </si>
  <si>
    <t>1. 0.00
2. 29.40
3. 33.20
4. 32.91
5. 11.34
6. 19.61</t>
  </si>
  <si>
    <t>1) Non-Hazardous Waste
2) Hazardous Waste</t>
  </si>
  <si>
    <t>1) 119067.48
2) 696.64</t>
  </si>
  <si>
    <t>Quartely</t>
  </si>
  <si>
    <t>Line 1 - 43215.332 
Line 2 - 37289.924 
Line 3 - 70072.629</t>
  </si>
  <si>
    <t xml:space="preserve">
 Line 1 - 20649.714 
Line 2 - 26885.285 
Line 3 - 25085.383 </t>
  </si>
  <si>
    <t xml:space="preserve">1. Crusher &amp; Misc Power
Line 1 - 18589.8
Line 2 - 18589.8
Line 3 - 18589.8 </t>
  </si>
  <si>
    <t xml:space="preserve">1. CPP
2. WHRS 
3. Solar Power Plant (DC Capacity) 
4. Floating Solar Plant (DC Capacity) </t>
  </si>
  <si>
    <t xml:space="preserve">1. 46 
2. 17 
3. 10.34
4. 6
</t>
  </si>
  <si>
    <t>0.712 ton co2/mwh 
&amp; 712 ton co2/kwh</t>
  </si>
  <si>
    <t>1. WHRS 
2. Solar On Site
3. Solar Roof Top
4. Solar Off Site
5. Wind Off Site</t>
  </si>
  <si>
    <t>1) 17
2) 8.91 - Onsite ground mounted
1.43 -- Onsite ground mounted
6 - Floating solar
0.39 - Roof top at TPP
3) 0.46 
4) Nil
5) Nil</t>
  </si>
  <si>
    <t>1. 6372244
2. 15662524
3. 549309
4. Nil
5. Nil</t>
  </si>
  <si>
    <t xml:space="preserve">1. Fly Ash
2. Slag
3. Red mud </t>
  </si>
  <si>
    <r>
      <rPr>
        <b/>
        <sz val="11"/>
        <color theme="1"/>
        <rFont val="Calibri"/>
        <family val="2"/>
        <scheme val="minor"/>
      </rPr>
      <t>Limestone:</t>
    </r>
    <r>
      <rPr>
        <sz val="11"/>
        <color theme="1"/>
        <rFont val="Calibri"/>
        <family val="2"/>
        <scheme val="minor"/>
      </rPr>
      <t xml:space="preserve"> 4492708.464</t>
    </r>
    <r>
      <rPr>
        <b/>
        <sz val="11"/>
        <color theme="1"/>
        <rFont val="Calibri"/>
        <family val="2"/>
        <scheme val="minor"/>
      </rPr>
      <t xml:space="preserve">
Others:
</t>
    </r>
    <r>
      <rPr>
        <sz val="11"/>
        <color theme="1"/>
        <rFont val="Calibri"/>
        <family val="2"/>
        <scheme val="minor"/>
      </rPr>
      <t>1) Laterite - 142022.14
2) Bauxite - 24081.94
3) Red Ochre - 140693.24
4) Red Mud - 18452.02
5) Fly Ash - 562823.27
6) Gypsum - 123802.86</t>
    </r>
  </si>
  <si>
    <r>
      <rPr>
        <b/>
        <sz val="11"/>
        <color theme="1"/>
        <rFont val="Calibri"/>
        <family val="2"/>
        <scheme val="minor"/>
      </rPr>
      <t xml:space="preserve">Limestone: </t>
    </r>
    <r>
      <rPr>
        <sz val="11"/>
        <color theme="1"/>
        <rFont val="Calibri"/>
        <family val="2"/>
        <scheme val="minor"/>
      </rPr>
      <t xml:space="preserve">4243027.71
</t>
    </r>
    <r>
      <rPr>
        <b/>
        <sz val="11"/>
        <color theme="1"/>
        <rFont val="Calibri"/>
        <family val="2"/>
        <scheme val="minor"/>
      </rPr>
      <t>Others:</t>
    </r>
    <r>
      <rPr>
        <sz val="11"/>
        <color theme="1"/>
        <rFont val="Calibri"/>
        <family val="2"/>
        <scheme val="minor"/>
      </rPr>
      <t xml:space="preserve">
1) Laterite - 103674.23
2) Bauxite - 81143.58
3) Red Ochre - 85217.33
4) Red Mud - 15941.95
5) Fly Ash - 521280.03
6) Gypsum - 125731.19</t>
    </r>
  </si>
  <si>
    <r>
      <rPr>
        <b/>
        <sz val="11"/>
        <color theme="1"/>
        <rFont val="Calibri"/>
        <family val="2"/>
        <scheme val="minor"/>
      </rPr>
      <t>Limestone</t>
    </r>
    <r>
      <rPr>
        <sz val="11"/>
        <color theme="1"/>
        <rFont val="Calibri"/>
        <family val="2"/>
        <scheme val="minor"/>
      </rPr>
      <t xml:space="preserve">: 3920063.26
</t>
    </r>
    <r>
      <rPr>
        <b/>
        <sz val="11"/>
        <color theme="1"/>
        <rFont val="Calibri"/>
        <family val="2"/>
        <scheme val="minor"/>
      </rPr>
      <t>Others:</t>
    </r>
    <r>
      <rPr>
        <sz val="11"/>
        <color theme="1"/>
        <rFont val="Calibri"/>
        <family val="2"/>
        <scheme val="minor"/>
      </rPr>
      <t xml:space="preserve">
1) Laterite - 96236.83
2) Bauxite - 60718.50
3) Red Ochre - 71314.58
4) Red Mud - 14650.93
5) Fly Ash - 566233.81
6) Gypsum - 95980.72</t>
    </r>
  </si>
  <si>
    <t>1. CALCIUM SULPHATE
2. GYPSUMALTERNATE
3. GYPSUMCHEMICAL
4. GYPSUMHYDRATED 
5. RED MUD 
6. ARALUMINA OR ALUMINA SALT
7. GYPSUMFGD
8. SLAG
9. ETP SLUDGE</t>
  </si>
  <si>
    <t>1. 12875.56
2. 5067.02
3. 5254.30
4. 42184.59
5. 18452.02
6. 214.517
7. 0
8. 0 
9. 0</t>
  </si>
  <si>
    <t>1. 13643.22
2. 22726.69
3. 19842.18
4. 17686.48
5. 15941.95
6. 835.715
7. 332.57
8. 1538.27
9. 893.568</t>
  </si>
  <si>
    <t>1. 3916.111
2. 25532.092
3. 33169.092
4. 313.81
5. 14650.93
6. 174.373
7. 290.8
8. 0
9. 0</t>
  </si>
  <si>
    <t>Pre blending in Raw mill silo and cement 
ball mill (RM01&amp;02 is VRM and RM03 is Ball mill)</t>
  </si>
  <si>
    <t>and sustainable manner. Emissions 
from cement production account for over 90% of the Company’s total carbon emissions. Therefore, the Company has adopted targets to reduce the emission intensity of its cement production process. 
1.Decarbonisation roadmap prepared –
The leadership has given an aim to keep our emissions 30% less than the prescribed standards given by the regulatory authorities. Prism Johnson Limited has installed a Waste Heat Recovery system (WHRS) to utilize the emitted CO2 and the waste energy by optimizing the system. 
We also proactively measure our carbon footprint as per the Cement Sustainability Initiative's CO2 protocol.
2. Action Plan to Achieve Carbon Neutral Target
•Use 100% alternative fuel by 2045 to eliminate fossil fuel consumption.
•100% Renewable energy usage by 2045.
•100% Portland Pozzolana Cement and Portland Slag cement production.
•Use of low grade limestone for cement production.
•By Carbon sequestration and carbon capture and storage (CCS).
•Scope for carbon pricing.</t>
  </si>
  <si>
    <t>Waste Heat Recovery at Line1 2 and 3 with Gross 17 MW, 
Installation of feed Extractor and relocation of Feed point as per CFD analysis, in Line-3 AFR Feeding circuit,  482 KWp rooftop solar plant installation at Staff and Durga colony, Interconnection of Air cooled Condenser -1 &amp;2 for operating 01 no. Turbine Line-3 cement mill to cement silo-2 cement transfer air slide installation Replacement of existing LT Motors with high efficient LT motors at Cement Plant area. Line-3 Baghouse Fan SPRS Replacement of existing LT Motors with high efficient LT motors at Cement Plant area. Installation of PRDS from TG 1st extraction for ejector charging. Replacement of HP compressor to LP Air cooled Compressor</t>
  </si>
  <si>
    <t>Steam Turbine</t>
  </si>
  <si>
    <t>The plant operation and control is through the PLC-SCADA system,
 I/O panels, controllers and HMI interface system</t>
  </si>
  <si>
    <t xml:space="preserve">1. From Process (Scope 1)
2. From Electricity (Scope 2) </t>
  </si>
  <si>
    <t>1. 592
2. 25</t>
  </si>
  <si>
    <t xml:space="preserve">NA. </t>
  </si>
  <si>
    <t>Portland Pozzolana Cement</t>
  </si>
  <si>
    <t>370-280Kg</t>
  </si>
  <si>
    <t>Both bagged &amp; bulk - 
Standard size of 50kg bag for bulk</t>
  </si>
  <si>
    <t>For plant we don’t have any such 
road map for decarbonization. However, for group level we have net zero target &amp; UltraTech target 2050 Net zero.</t>
  </si>
  <si>
    <t>Refer to offline 
response</t>
  </si>
  <si>
    <t xml:space="preserve">Annually. </t>
  </si>
  <si>
    <t>1.Process Emissions from Limestone Calcination
2.High Cost and Complexity of Carbon Capture
3.Limited Availability of Low-Carbon Alternatives
4.Energy Transition Challenges (Fuels &amp; Power)
5.Regulatory, Market, and Investment Barriers</t>
  </si>
  <si>
    <t>1. Process Emissions from Limestone Calcination
 The biggest structural barrier
•	Around 60–65% of cement CO₂ emissions come from the chemical decomposition of limestone (CaCO₃ → CaO + CO₂), not from fuel combustion.
•	These emissions are unavoidable with traditional clinker-based cement.
•	Unlike power plants, simply switching to renewable energy does not eliminate this CO₂.
Why it’s hard to solve
•	Requires new chemistries (alternative binders) or carbon capture, both still scaling.
________________________________________
2. High Cost and Complexity of Carbon Capture
The most discussed but least deployed solution
•	Carbon Capture, Utilization &amp; Storage (CCUS) can technically remove 90%+ of emissions, but: 
o	Very capital-intensive
o	High energy penalty (15–30% extra energy)
o	Requires CO₂ transport and storage infrastructure
Why it’s a barrier
•	Cement margins are thin
•	Few plants are near CO₂ storage sites
•	Business case often depends on carbon pricing or subsidies
________________________________________
3. Limited Availability of Low-Carbon Alternatives
Material constraints
Key decarbonization levers include:
•	Clinker substitution (fly ash, slag, calcined clay)
•	New binders (LC³, geopolymers, belite cement)
Challenges
•	Fly ash supply is declining as coal power phases out
•	Blast furnace slag is geographically limited
•	New cements face: 
o	Performance uncertainty
o	Limited standards acceptance
o	Customer resistance
________________________________________
4. Energy Transition Challenges (Fuels &amp; Power)
 More difficult than often assumed
•	Cement kilns require continuous 1,400–1,450°C heat
•	Electrification at this scale is not yet commercial
Alternative fuels issues:
•	Biomass and waste fuels have: 
o	Variable quality
o	Supply instability
o	Higher operational complexity
•	Green hydrogen is: 
o	Very expensive
o	Not widely available at scale
________________________________________
5. Regulatory, Market, and Investment Barriers
🔴 Non-technical but critical
•	Inconsistent carbon policies across regions
•	Long asset lifetimes (30–40 years) discourage retrofits
•	Customers often prioritize lowest cost over low-carbon cement
•	Green cement premiums are difficult to pass on
Result
•	Plants delay investment waiting for: 
o	Clearer regulation
o	Stronger carbon pricing
o	Demand-side pull (green procurement)</t>
  </si>
  <si>
    <t>Yes, all the above
 enablers are our internal strength</t>
  </si>
  <si>
    <t>5ff6a005-7477-483b-9d4e-d6bd24fdb492</t>
  </si>
  <si>
    <t>uuid:5ff6a005-7477-483b-9d4e-d6bd24fdb492</t>
  </si>
  <si>
    <t>UltraTech Cement Ltd. 
Unit- Sidhi Cement Works</t>
  </si>
  <si>
    <t>Sidhi</t>
  </si>
  <si>
    <t>Mr. B.P. Saggu</t>
  </si>
  <si>
    <t>Unit Head</t>
  </si>
  <si>
    <t>utcl-sdcw.cpcb@adityabirla.com</t>
  </si>
  <si>
    <t>Line 1 - SLC (Separate Line Calciner) Capacity ~4500TPD
Line 2 - ILC (Inline Calciner) Capacity ~5000TPD</t>
  </si>
  <si>
    <t>1. Coal - Domestic
2. Coal - Imported
3. Pet Coke - Domestic
4. Pet Coke - Imported
5. AFR/Biomass/others</t>
  </si>
  <si>
    <t>1. Domestic
2. Imported
3. Domestic
4. Imported
5. Domestic</t>
  </si>
  <si>
    <t>1. 16.53
2. 24.88
3. 33.87
4. 33.80
5. 6.083</t>
  </si>
  <si>
    <t>1) AF Plastic Waste
2) AF Plastic Waste Shredded 
3) AF MSWRDR Shredded
4) AF Biomass Briquette
5) AF MSWRDF
6) AF Cloth Waste</t>
  </si>
  <si>
    <t>1) 1565.08
2) 1595.49
3) 3045.38
4) 1.7
5) 15833.5 
6) 1.070</t>
  </si>
  <si>
    <t>1100-1350</t>
  </si>
  <si>
    <t>Line 1 - 75865.3768
Line 2 - 84401.06179</t>
  </si>
  <si>
    <t>Line 1 - 32286.4418
Line 2 - 18607.06179</t>
  </si>
  <si>
    <t>Crusher &amp; Misc Power -
Line 1 - 12282.01418
Line 2 - 8211.31318</t>
  </si>
  <si>
    <t>CPP</t>
  </si>
  <si>
    <t>Both</t>
  </si>
  <si>
    <t>0.0727 + Indian</t>
  </si>
  <si>
    <t>Solar Energy</t>
  </si>
  <si>
    <t>Fly Ash</t>
  </si>
  <si>
    <r>
      <rPr>
        <b/>
        <sz val="11"/>
        <color theme="1"/>
        <rFont val="Calibri"/>
        <family val="2"/>
        <scheme val="minor"/>
      </rPr>
      <t>Limestone:</t>
    </r>
    <r>
      <rPr>
        <sz val="11"/>
        <color theme="1"/>
        <rFont val="Calibri"/>
        <family val="2"/>
        <scheme val="minor"/>
      </rPr>
      <t xml:space="preserve"> 3950615.33
</t>
    </r>
    <r>
      <rPr>
        <b/>
        <sz val="11"/>
        <color theme="1"/>
        <rFont val="Calibri"/>
        <family val="2"/>
        <scheme val="minor"/>
      </rPr>
      <t>Others:</t>
    </r>
    <r>
      <rPr>
        <sz val="11"/>
        <color theme="1"/>
        <rFont val="Calibri"/>
        <family val="2"/>
        <scheme val="minor"/>
      </rPr>
      <t xml:space="preserve">
1) Cement Coal - 184299.25
2) Laterite - 97379 
3) Chemical Gypsum - 14828.69
4) Mineral Gypsum - 18880.64
5) Fly Ash - 618798.3
6) Pet coke - 128861
7) Red Mud/ Iron Ore - 57242
8) AFR - 4191.7
9) Power Coal - 183792.09</t>
    </r>
  </si>
  <si>
    <r>
      <rPr>
        <b/>
        <sz val="11"/>
        <color theme="1"/>
        <rFont val="Calibri"/>
        <family val="2"/>
        <scheme val="minor"/>
      </rPr>
      <t xml:space="preserve">Limestone: </t>
    </r>
    <r>
      <rPr>
        <sz val="11"/>
        <color theme="1"/>
        <rFont val="Calibri"/>
        <family val="2"/>
        <scheme val="minor"/>
      </rPr>
      <t xml:space="preserve">4047347.00
</t>
    </r>
    <r>
      <rPr>
        <b/>
        <sz val="11"/>
        <color theme="1"/>
        <rFont val="Calibri"/>
        <family val="2"/>
        <scheme val="minor"/>
      </rPr>
      <t>Others:</t>
    </r>
    <r>
      <rPr>
        <sz val="11"/>
        <color theme="1"/>
        <rFont val="Calibri"/>
        <family val="2"/>
        <scheme val="minor"/>
      </rPr>
      <t xml:space="preserve">
1) Cement Coal - 160044.66
2) Laterite - 94700.48
3) Chemical Gypsum - 47266.70
4) Mineral Gypsum - 17100.87
5) Fly Ash - 605882.08
6) Pet coke - 191125.43
7) Red Mud/ Iron Ore - 105950.52
8) AFR - 3625.89
9) Power Coal - 307592.98</t>
    </r>
  </si>
  <si>
    <r>
      <rPr>
        <b/>
        <sz val="11"/>
        <color theme="1"/>
        <rFont val="Calibri"/>
        <family val="2"/>
        <scheme val="minor"/>
      </rPr>
      <t>Limestone:</t>
    </r>
    <r>
      <rPr>
        <sz val="11"/>
        <color theme="1"/>
        <rFont val="Calibri"/>
        <family val="2"/>
        <scheme val="minor"/>
      </rPr>
      <t xml:space="preserve"> 4,133,053.50
</t>
    </r>
    <r>
      <rPr>
        <b/>
        <sz val="11"/>
        <color theme="1"/>
        <rFont val="Calibri"/>
        <family val="2"/>
        <scheme val="minor"/>
      </rPr>
      <t>Others:</t>
    </r>
    <r>
      <rPr>
        <sz val="11"/>
        <color theme="1"/>
        <rFont val="Calibri"/>
        <family val="2"/>
        <scheme val="minor"/>
      </rPr>
      <t xml:space="preserve">
1) Cement Coal - 124809.82
2) Laterite - 85799.33
3) Chemical Gypsum - 12862.94
4) Mineral Gypsum - 23991.57
5) Fly Ash - 546936.95
6) Pet coke - 212611.03
7) Red Mud/ Iron Ore - 122705.71
8) AFR -  20,205.33 
9) Power Coal - 284,552.89 </t>
    </r>
  </si>
  <si>
    <t>1. Fly Ash 
2. Red Mud 
3. Gypsum Unhydrated</t>
  </si>
  <si>
    <t>1. 618798.30
2. 57242
3. 19205.40</t>
  </si>
  <si>
    <t>1. 605882.08
2. 105950.52
3. 23314.37</t>
  </si>
  <si>
    <t>1. 546936.95
2. 122705.71
3. 5072.92</t>
  </si>
  <si>
    <t>YES, Stacker &amp; Reclaimer 
implemented for homogenization of Limestone and Coal.</t>
  </si>
  <si>
    <t>Installation of fan less Colling tower in place of Colling tower in post clikarization
. , BLDC Fan 200 Nos. installation, Coficon make ACC replaced with energy efficient ACC fan (03 Nos.) , 75 KW Compressor installation</t>
  </si>
  <si>
    <t>The plant operation and control is through
 the PLC-SCADA system, I/O panels, controllers and HMI interface system</t>
  </si>
  <si>
    <t>Cement CO2
 and energy 
Protocol, Version 3.1</t>
  </si>
  <si>
    <t>Total Co2 emiision sources</t>
  </si>
  <si>
    <t xml:space="preserve">Monthly </t>
  </si>
  <si>
    <t>Portland Pozzolana Cement
 &amp; Waterproofing Compound/Powder</t>
  </si>
  <si>
    <t>PPC - 370-380Kg</t>
  </si>
  <si>
    <t>Bagged</t>
  </si>
  <si>
    <t xml:space="preserve">No any regulatory constraints 
affecting fuel switching or waste co-processing &amp; but any material change Co-Processing MPPCB Permission (Fresh CTE &amp; CTO) is required. </t>
  </si>
  <si>
    <t>bd480634-be73-49f4-8be8-41daebe50418</t>
  </si>
  <si>
    <t>uuid:bd480634-be73-49f4-8be8-41daebe50418</t>
  </si>
  <si>
    <t>M/s. J K Cement Limited, Panna</t>
  </si>
  <si>
    <t>Panna</t>
  </si>
  <si>
    <t>Mr. Kapil Agrawal</t>
  </si>
  <si>
    <t>saurabh.yadav1@jkcement.com</t>
  </si>
  <si>
    <t xml:space="preserve">2 Production Lines/ kiln -1&amp;2
Types-Dry </t>
  </si>
  <si>
    <t>1. Coal - Domestic
2. Coal - Imported
3. Pet Coke
4. Diesel
5. RDF
5. Biomass</t>
  </si>
  <si>
    <t>1. Domestic
2. Imported
3. Domestic and Imported
4. Domestic
5. Domestic</t>
  </si>
  <si>
    <t>1. 19.66 
2. Nil
3. 33.79 
4. 45.54 
5. 7.26
6. 13.30</t>
  </si>
  <si>
    <t>1) Non Hazardous Waste 
2) Hazardous Waste</t>
  </si>
  <si>
    <t>1) 429137.683
2) 3879.415</t>
  </si>
  <si>
    <t>Crusher &amp; Misc Power - 5472.14349</t>
  </si>
  <si>
    <t>0.727Kg g Co2e/kWh grid
 emission factor</t>
  </si>
  <si>
    <t>Rooftop Solar System</t>
  </si>
  <si>
    <r>
      <t xml:space="preserve">Limestone:
</t>
    </r>
    <r>
      <rPr>
        <sz val="11"/>
        <color theme="1"/>
        <rFont val="Calibri"/>
        <family val="2"/>
        <scheme val="minor"/>
      </rPr>
      <t xml:space="preserve">1. Crushed Lime Stone - 3490879
2. Lime Stone Purchases - 167730
</t>
    </r>
    <r>
      <rPr>
        <b/>
        <sz val="11"/>
        <color theme="1"/>
        <rFont val="Calibri"/>
        <family val="2"/>
        <scheme val="minor"/>
      </rPr>
      <t xml:space="preserve">Others:
</t>
    </r>
    <r>
      <rPr>
        <sz val="11"/>
        <color theme="1"/>
        <rFont val="Calibri"/>
        <family val="2"/>
        <scheme val="minor"/>
      </rPr>
      <t>1. Iron Ore Fines - 26.84
2. Iron Sludge - 661.65
3. Laterite - 32835.18
4. Laterite 2 - 88964
5. Red Mud - 2419
6. Red Ochre - 2572</t>
    </r>
  </si>
  <si>
    <r>
      <t xml:space="preserve">Limestone:
</t>
    </r>
    <r>
      <rPr>
        <sz val="11"/>
        <color theme="1"/>
        <rFont val="Calibri"/>
        <family val="2"/>
        <scheme val="minor"/>
      </rPr>
      <t xml:space="preserve">1. Crushed Lime Stone - 3977864
2. Lime Stone Purchases - 8781
</t>
    </r>
    <r>
      <rPr>
        <b/>
        <sz val="11"/>
        <color theme="1"/>
        <rFont val="Calibri"/>
        <family val="2"/>
        <scheme val="minor"/>
      </rPr>
      <t xml:space="preserve">Others:
</t>
    </r>
    <r>
      <rPr>
        <sz val="11"/>
        <color theme="1"/>
        <rFont val="Calibri"/>
        <family val="2"/>
        <scheme val="minor"/>
      </rPr>
      <t>1. Chemical Sludge - 312
2. Iron Sludge - 2195.32
3. Laterite - 37150
4. Laterite 2 - 80287
5. Red Mud - 282.90
6. Red Ochre - 19895.41</t>
    </r>
  </si>
  <si>
    <t>1. Fly Ash
2. Gypsum
3. Red Mud
4. Slag
5. Chemical Sludge 
6. Iron Sludge</t>
  </si>
  <si>
    <t>1. 348468.797
2. 198138.197
3. NA
4. NA
5. 661.645</t>
  </si>
  <si>
    <t>1. 389392.6
2. 76799.21
3. 282.9
4. NA 
5. 1623
6. 2195.315</t>
  </si>
  <si>
    <t>Stacker and reclaimer is used for 
homogenization of limestone as well coal, additives. We have blending silo for mixing raw meal before feeding in PH</t>
  </si>
  <si>
    <t xml:space="preserve"> WHRS in 2022, Rooftop Solar Plant Installation
 in 2023, Installation of AFR Feeding system in 2023, Implementation of APC for Raw Mill for Process Optimization</t>
  </si>
  <si>
    <t>Schneider DCS and APC
In place</t>
  </si>
  <si>
    <r>
      <t xml:space="preserve">The CO2 emissions are calculated by using GCCA (Global Cement and Concrete Association) Cement CO2 and Energy Protocol, Version 3.1, CO2 Emissions and Energy Inventory developed by the WBCSD Cement Sustainability Initiative (CSI) and European Cement Research Academy (ECRA).
</t>
    </r>
    <r>
      <rPr>
        <b/>
        <sz val="11"/>
        <color theme="1"/>
        <rFont val="Calibri"/>
        <family val="2"/>
        <scheme val="minor"/>
      </rPr>
      <t>Methodology</t>
    </r>
    <r>
      <rPr>
        <sz val="11"/>
        <color theme="1"/>
        <rFont val="Calibri"/>
        <family val="2"/>
        <scheme val="minor"/>
      </rPr>
      <t xml:space="preserve">
for (a) 525*Quantity of clinker production
(b) combustion - Quantity of Fuel*NCV*Emission Factor (per lower hearting value) as per IPCC
</t>
    </r>
  </si>
  <si>
    <t xml:space="preserve">1. Process (Calcination)
2. Combustion (fuel)
3. Electricity (scope 2)
4. Total </t>
  </si>
  <si>
    <t>1. 1501038.527
2. 776652.9512
3. 8873.11106
4. 78606
5. 2365168.136</t>
  </si>
  <si>
    <t>CDP Standard</t>
  </si>
  <si>
    <t>Biomass Substitution</t>
  </si>
  <si>
    <t>Pilot</t>
  </si>
  <si>
    <t>JKCL is participating in a pioneering government-
supported initiative under the Ministry of Science and Technology’s (CEST) special cell for Carbon Capture and Utilization (CCU) in the cement sector. In collaboration with the National Council for Cement and Building Materials (NCCBM) and IIT Roorkee, we are establishing a pilot plant for CO₂ capture (2.0 TPD) using an oxyfuel-based calciner at one of JK cement facility at Mangrol, Rajasthan. The captured CO₂ will be utilized in the production of lightweight concrete products.</t>
  </si>
  <si>
    <t xml:space="preserve">JK Cement is the first company in India 
to commence commercial production and dispatch of Limestone Calcined Clay Cement (LC-3). The company announced this milestone in July 2025, with production occurring at its facility in Mangrol, Chittorgarh district, Rajasthan. </t>
  </si>
  <si>
    <t xml:space="preserve">
1. IIT Kanpur
2. CCU, IIT Roorkee and NCCBM</t>
  </si>
  <si>
    <t xml:space="preserve">1. Portland Pozzolana Cement 
2. Brand 1 - JK Super PPC
3. Brand 2 - JK Super Strong
4. Brand 3 - JK Super Protect </t>
  </si>
  <si>
    <t>1. 491
2. 486
3. 574
4. 558</t>
  </si>
  <si>
    <t>Bagged - 50kg
Bulk - Approx 35-38MT</t>
  </si>
  <si>
    <t>USD 8 Shadow Pricing</t>
  </si>
  <si>
    <t>1. WHRS
2. Alternate fuel handling cost</t>
  </si>
  <si>
    <t xml:space="preserve">
Net-zero or % reduction target year 2070
</t>
  </si>
  <si>
    <t>Bi-Annually</t>
  </si>
  <si>
    <t>1. Capital Cost
2. Fuel Supply
3. Regulatory Uncertainty</t>
  </si>
  <si>
    <t>1. High upfront investment for electrification or hydrogen, CCUS readiness often has a long payback period that competes with immediate operational needs.
2. While biomass is an option in MP, securing a consistent, high-quality supply of Alternative Fuels and Raw Materials (AFR) at scale remains a logistical hurdle.
3. Regulatory Uncertainty: Shifting policies regarding carbon taxes like CBAM or evolving CCTS (Carbon Credit Trading Scheme) targets create a "wait and see" environment for large investments.</t>
  </si>
  <si>
    <t>1. Existing WHRS
2. Supportive Managementx
3. Strong Cash Flow
4. Proximity to Renewable Zone</t>
  </si>
  <si>
    <t xml:space="preserve">1. Existing Waste Heat Recovery (WHR): Many integrated plants in this region already have WHR systems, providing a solid foundation for energy efficiency. We also have lined up &amp; installed both WHRS
2. Supportive Management: A corporate mandate toward ESG (Environmental, Social, and Governance) goals that prioritizes long-term sustainability over short-term margins.
3. Strong Cash Flow: The financial liquidity to absorb initial pilot costs and leverage green financing.
Proximity to Renewable Zones: Madhya Pradesh’s high solar potential allows for easier procurement of 4. PPA-based green energy.
</t>
  </si>
  <si>
    <t>•Unit Head: Final decision-maker and resource allocator.
• Chief Sustainability Officer (CSO): Strategic alignment with corporate net-zero targets.
• Technical/Process Head: Oversight of kiln efficiency and AFR integration.
• Commercial Head: Evaluation of ROI, carbon credits, and green subsidies.
• Procurement/Logistics Manager: Managing the supply chain for alternative fuels.
• Quality Control (QC) Head: Ensuring product standards are met despite process changes.</t>
  </si>
  <si>
    <t>Maybe</t>
  </si>
  <si>
    <t>ef9b7bb6-4a61-4842-9306-c5fb417685cd</t>
  </si>
  <si>
    <t>uuid:ef9b7bb6-4a61-4842-9306-c5fb417685cd</t>
  </si>
  <si>
    <t>Prism Johnson Limited
 (Cement Division-Unit-1)</t>
  </si>
  <si>
    <t>Satna</t>
  </si>
  <si>
    <t xml:space="preserve"> Mr. Sumitabh Dwivedi</t>
  </si>
  <si>
    <t>Assistant General Manager 
(Environment)</t>
  </si>
  <si>
    <t>sumitabh.dwivedi@prismjohnson.in</t>
  </si>
  <si>
    <t xml:space="preserve"> Dry Process - Type: Rotary kilns with
multi-stage cyclone preheaters and precalciners
Kiln Capacity ~7000TPD</t>
  </si>
  <si>
    <t>1. Coal 
2. Pet Coke
3. Liquid HW
4. Solid HW</t>
  </si>
  <si>
    <t>1. 447983
2. 141523
3. 6912
4. 58267</t>
  </si>
  <si>
    <t>1. Govt Mines &amp; Open Market
2. Import or Export Both
3. Beil Infrastructure Limited Banas 
waste management 3R Enviro India Pvt LTD etc.
4. Beil Infrastructure ltd.
Anas–Green-Environment Limited
GO-GREEN-ECO-TECH SOLUTIONS</t>
  </si>
  <si>
    <t>1. India
2. India
3. India 
4. India 
5. India</t>
  </si>
  <si>
    <t>1. 19.81
2. 33.63
3. 5.36
4. 10.45</t>
  </si>
  <si>
    <t>1. 61.62%
2. 33.79%
3. 4.26%
4. 4.32%</t>
  </si>
  <si>
    <t>1) Process Waste
2) Distillation Residue
3) Spent Solvent
4) Process Residue 
5) Waste Mix Liquid</t>
  </si>
  <si>
    <t>1) 0
2) 0
3) 27
4) 0 
5) 6953</t>
  </si>
  <si>
    <t>clink</t>
  </si>
  <si>
    <t>Total Annual Electricity 
Consumption - 
171089</t>
  </si>
  <si>
    <t xml:space="preserve">1. WHRS - Steam Turbine
2. Solar Unit - Ground
Mounted </t>
  </si>
  <si>
    <t>1. 22.44
2. 23</t>
  </si>
  <si>
    <t xml:space="preserve"> Grid emission factor  - 0.00071
 &amp; Source -DISCOM</t>
  </si>
  <si>
    <t>Ground mount solar plant</t>
  </si>
  <si>
    <t>1. Fly Ash
2. Gypsum
3. Performance Improver (PI)</t>
  </si>
  <si>
    <t>1. 30.01%
2. 4.3%
3. 0%</t>
  </si>
  <si>
    <r>
      <t>Limestone:</t>
    </r>
    <r>
      <rPr>
        <sz val="11"/>
        <color theme="1"/>
        <rFont val="Calibri"/>
        <family val="2"/>
        <scheme val="minor"/>
      </rPr>
      <t xml:space="preserve"> 2641218
</t>
    </r>
    <r>
      <rPr>
        <b/>
        <sz val="11"/>
        <color theme="1"/>
        <rFont val="Calibri"/>
        <family val="2"/>
        <scheme val="minor"/>
      </rPr>
      <t xml:space="preserve">
Others:
</t>
    </r>
    <r>
      <rPr>
        <sz val="11"/>
        <color theme="1"/>
        <rFont val="Calibri"/>
        <family val="2"/>
        <scheme val="minor"/>
      </rPr>
      <t>1. High Alumina Laterite - 18688
2. Gypsum Natural - 71726
3. Laterite - 92873
4. Hand Broken - 20172
5. Red Mud - 0
6. FGD Gypsum - 0
7. Fly Ash - 524409</t>
    </r>
  </si>
  <si>
    <r>
      <t xml:space="preserve">Limestone: </t>
    </r>
    <r>
      <rPr>
        <sz val="11"/>
        <color theme="1"/>
        <rFont val="Calibri"/>
        <family val="2"/>
        <scheme val="minor"/>
      </rPr>
      <t>2594456</t>
    </r>
    <r>
      <rPr>
        <b/>
        <sz val="11"/>
        <color theme="1"/>
        <rFont val="Calibri"/>
        <family val="2"/>
        <scheme val="minor"/>
      </rPr>
      <t xml:space="preserve">
Others:
</t>
    </r>
    <r>
      <rPr>
        <sz val="11"/>
        <color theme="1"/>
        <rFont val="Calibri"/>
        <family val="2"/>
        <scheme val="minor"/>
      </rPr>
      <t>1. High Alumina Laterite - 31436
2. Gypsum Natural - 65838
3. Laterite - 88379
4. Hand Broken - 17717
5. Red Mud - 0 
6. FGD Gypsum - 0
7. Fly Ash - 543062</t>
    </r>
  </si>
  <si>
    <r>
      <t xml:space="preserve">Limestone: </t>
    </r>
    <r>
      <rPr>
        <sz val="11"/>
        <color theme="1"/>
        <rFont val="Calibri"/>
        <family val="2"/>
        <scheme val="minor"/>
      </rPr>
      <t>3104664</t>
    </r>
    <r>
      <rPr>
        <b/>
        <sz val="11"/>
        <color theme="1"/>
        <rFont val="Calibri"/>
        <family val="2"/>
        <scheme val="minor"/>
      </rPr>
      <t xml:space="preserve">
Others:
</t>
    </r>
    <r>
      <rPr>
        <sz val="11"/>
        <color theme="1"/>
        <rFont val="Calibri"/>
        <family val="2"/>
        <scheme val="minor"/>
      </rPr>
      <t>1. High Alumina Laterite - 8355
2. Gypsum Natural - 119414
3. Laterite - 108891
4. Hand Broken - 44451
5. Red Mud - NA
6. FGD Gypsum - 2150
7. Fly Ash - 512642</t>
    </r>
  </si>
  <si>
    <t>1. FGD Gypsum
2. Fly Ash
3. Bedash</t>
  </si>
  <si>
    <t>1. 0
2. 524409
3. 0</t>
  </si>
  <si>
    <t>1. 0
2. 543062
3. 0</t>
  </si>
  <si>
    <t>1. 2150
2. 512642
3. 11921</t>
  </si>
  <si>
    <t>Raw material pre-blending and 
homogenization are carried out through a stacker–reclaimer system installed in the raw material yard. Limestone and other corrective materials are stacked in a controlled manner using a stacker and subsequently reclaimed by a reclaimer, ensuring effective mixing and homogenization of the raw mix. This system helps in minimizing raw material variability, maintaining consistent chemical composition of kiln feed, improving kiln stability, and enhancing overall process efficiency.</t>
  </si>
  <si>
    <t>Energy Management System
 (ISO 50001:2018)</t>
  </si>
  <si>
    <t>IKN Pendulum Cooler</t>
  </si>
  <si>
    <t>1.	    Production Data
o	Record clinker production, cement production &amp; clinker factor.
2.	Thermal Energy Emissions (Scope 1)
o	Calculate CO₂ from coal, petcoke, biomass, AFR, diesel.
o	Use emission factors (kg CO₂/GJ) × fuel consumption.
3.	Raw Material Emissions (Scope 1)
o	From calcination of CaCO₃ (CaO release) and MgCO₃ (MgO release).
o	Formula:
	CO₂ from CaO = Clinker × (CaO%) × (44/56)
	CO₂ from MgO = Clinker × (MgO%) × (44/40)
4.	Total Scope 1 Emissions
o	Add: CO₂ from fuels + CO₂ from raw material.
5.	Electricity Emissions (Scope 2)
o	Electricity consumption (kWh) × grid emission factor (kg CO₂/kWh).
6.	Gross vs Net Emission
o	Net = Gross – credits (e.g., AFR, offsets).
7.	Specific Net CO₂ Emission
Normalized per ton of cementitious material:
            Net CO₂ (MT)Cementitious Material (MT)×1000\frac{\text{Net CO₂ (MT)}}{\text{Cementitious Material (MT)}} ×      1000Cementitious Material (MT)Net CO₂ (MT)×1000 
   Expressed as kg CO₂/ton cementitious.</t>
  </si>
  <si>
    <t>Biomass substitution
 Furthermore, the industry has obtained approval to co-process solid waste including plastic, rice husk, mustard husk, sawdust, and wooden bark to increase the Thermal Substitution Rate (TSR) to 25%.
 These measures have significantly reduced the use of coal, thereby decreasing Scope 1 GHG emissions. The substitution of fossil fuels with AFR contributes to our de-carbonization strategy in alignment with the GHG Protocol's fuel-switching guidance.</t>
  </si>
  <si>
    <t>Studying</t>
  </si>
  <si>
    <t xml:space="preserve">Environmental Product
Declarations (EPDs) are third-party verified documents that transparently communicate the environmental performance of a product based on Life Cycle Assessment (LCA). EPDs provide standardized information on impacts such as carbon footprint, energy use, and resource consumption, enabling customers and stakeholders to make informed, sustainable purchasing decisions. </t>
  </si>
  <si>
    <t>Refer to offline
response sheet</t>
  </si>
  <si>
    <t>1. WHRS
2. Solar Power Unit 1
3. Alternative Fuels (AFR) Handling System
(600TPD)</t>
  </si>
  <si>
    <t>1. 200
2. 21
3. 0.74</t>
  </si>
  <si>
    <t>The Company remains committed to reducing its environmental impact and conducting business in a responsible and sustainable manner. Emissions from cement production account for over 90% of the Company’s total carbon emissions. Therefore, the Company has adopted targets to reduce the emission intensity of its cement production process. 
1.	Decarbonisation roadmap prepared –
The leadership has given an aim to keep our emissions 30% less than the prescribed standards given by the regulatory authorities. Prism Johnson Limited has installed a Waste Heat Recovery system (WHRS) to utilize the emitted CO2 and the waste energy by optimizing the system. 
We also proactively measure our carbon footprint as per the Cement Sustainability Initiative's CO2 protocol.
2. Action Plan to Achieve Carbon Neutral Target
•	Use 100% alternative fuel by 2045 to eliminate fossil fuel consumption.
•	100% Renewable energy usage by 2045.
•	100% Portland Pozzolana Cement and Portland Slag cement production.
•	Use of low grade limestone for cement production.
•	By Carbon sequestration and carbon capture and storage (CCS).
•	Scope for carbon pricing.</t>
  </si>
  <si>
    <t>Quarterly</t>
  </si>
  <si>
    <t>1. High Capital Cost
2. Availability and consistency of alternative fuels
3. Regulatory approvals and compliance 
4. Techinical and operational risks
5. Market Demand &amp; Acceptance of low carbon products</t>
  </si>
  <si>
    <t>1. Decarbonisation technologies such as AFR systems, renewable energy expansion, 
WHRS upgrades, and future CCS/CCU require significant upfront investment with long payback periods.
2.  Limited, inconsistent supply and variable quality of alternative fuels restrict higher thermal substitution rates and stable kiln operation.
3. Multiple statutory approvals and evolving regulatory requirements can delay implementation of new fuels and low-carbon technologies.
4. Integration of new technologies may impact kiln stability, clinker quality, and process reliability, requiring careful trials and risk management.
5. Price sensitivity, limited customer awareness, and lack of strong market incentives slow adoption of low-carbon cement products.</t>
  </si>
  <si>
    <t>1. Alternative Fuels and Raw Materialsx
2. WHRS
3. Energy Efficiency Enhancements
4. Renewable Energy Integration as per sustainability report
FY24
5. Waste Management and Zero Liquid Discharge</t>
  </si>
  <si>
    <t>1. •	The company co-processes waste in cement kilns to reduce dependence on fossil fuels.
•	Thermal Substitution Rate (TSR):
o	Increased to 7.3% in FY 2023–24, up from previous years, reflecting a growing share of alternative fuels in energy consumption.
•	AFR usage:
o	Total solid waste co-processed: 27,934 MT in FY24 &amp; 58,526 MT in FY25.
2. WHRS helps recover flue gas heat to generate power, reducing GHG emissions and electricity use. 
3. Use of Vertical Roller Mills (VRM): More energy-efficient than conventional ball mills. 
Thermal: 726 kcal/kg of clinker – both values are better than industry average.
•	VFDs (Variable Frequency Drives) and LED lights:
o	Over 3,000 LED lights replaced across units.
o	650+ VFDs installed to optimize energy use.
4.  Green Power Purchase:
35% of Prism Cement’s energy requirement already met through renewables.
This renewable usage avoided ~44,000 tonnes of CO₂ emissions.
5. Achieved ZLD at key manufacturing locations.
Water recycled/reused: Over 118,092 KL.</t>
  </si>
  <si>
    <t>	Yes, we are willing to host pilot projects and data-sharing partnerships, subject to mutual agreement and regulatory compliance.
         The organization is open to:
•	Hosting pilot-scale trials related to low-carbon technologies, alternative fuels &amp; raw materials (AFR), clinker substitution, energy efficiency, and emission reduction initiatives.
•	Providing operational, performance, and environmental monitoring data generated during pilot projects to project partners for technical evaluation and improvement.
•	Collaborating with technology providers, research institutions, and regulatory bodies to validate innovative solutions under real plant operating conditions.
	All pilot activities and data sharing will be carried out:
•	In compliance with Environmental Clearance (EC) conditions and statutory requirements
•	With appropriate confidentiality and data protection agreements
•	Without adversely affecting plant safety, product quality, or environmental performance
     Such partnerships are viewed as an important step toward innovation, sustainability, and continuous improvement in cement manufacturing operations.</t>
  </si>
  <si>
    <t>69721763-492e-4381-bd1a-0f00372c83bf</t>
  </si>
  <si>
    <t>uuid:69721763-492e-4381-bd1a-0f00372c83bf</t>
  </si>
  <si>
    <t>Prism Johnson Limited
 (Cement Division-Unit-II)</t>
  </si>
  <si>
    <t>Dry Process - Type: Rotary kilns with multi-stage cyclone preheaters and
precalciners - Kiln Capacity ~7200TPD</t>
  </si>
  <si>
    <t>Annual Total Electricity
Consumption: 
272485</t>
  </si>
  <si>
    <t>1. 22.44
2. 15</t>
  </si>
  <si>
    <r>
      <t>Limestone:</t>
    </r>
    <r>
      <rPr>
        <sz val="11"/>
        <color theme="1"/>
        <rFont val="Calibri"/>
        <family val="2"/>
        <scheme val="minor"/>
      </rPr>
      <t xml:space="preserve"> 3121603
</t>
    </r>
    <r>
      <rPr>
        <b/>
        <sz val="11"/>
        <color theme="1"/>
        <rFont val="Calibri"/>
        <family val="2"/>
        <scheme val="minor"/>
      </rPr>
      <t xml:space="preserve">
Others:
</t>
    </r>
    <r>
      <rPr>
        <sz val="11"/>
        <color theme="1"/>
        <rFont val="Calibri"/>
        <family val="2"/>
        <scheme val="minor"/>
      </rPr>
      <t>1. High Alumina Laterite - 32726
2. Gypsum Natural - 118003
3. Laterite - 96725
4. Hand Broken - 4881
5. Red Mud - 3690
6. FGD Gypsum - 5270
7. Fly Ash - 923068</t>
    </r>
  </si>
  <si>
    <r>
      <t xml:space="preserve">Limestone: </t>
    </r>
    <r>
      <rPr>
        <sz val="11"/>
        <color theme="1"/>
        <rFont val="Calibri"/>
        <family val="2"/>
        <scheme val="minor"/>
      </rPr>
      <t>3828482</t>
    </r>
    <r>
      <rPr>
        <b/>
        <sz val="11"/>
        <color theme="1"/>
        <rFont val="Calibri"/>
        <family val="2"/>
        <scheme val="minor"/>
      </rPr>
      <t xml:space="preserve">
Others:
</t>
    </r>
    <r>
      <rPr>
        <sz val="11"/>
        <color theme="1"/>
        <rFont val="Calibri"/>
        <family val="2"/>
        <scheme val="minor"/>
      </rPr>
      <t>1. High Alumina Laterite - 57411
2. Gypsum Natural - 124841
3. Laterite - 119223
4. Hand Broken - 0
5. Red Mud - 3807
6. FGD Gypsum - 2122
7. Fly Ash - 1010363</t>
    </r>
  </si>
  <si>
    <r>
      <t xml:space="preserve">Limestone: </t>
    </r>
    <r>
      <rPr>
        <sz val="11"/>
        <color theme="1"/>
        <rFont val="Calibri"/>
        <family val="2"/>
        <scheme val="minor"/>
      </rPr>
      <t>3598574</t>
    </r>
    <r>
      <rPr>
        <b/>
        <sz val="11"/>
        <color theme="1"/>
        <rFont val="Calibri"/>
        <family val="2"/>
        <scheme val="minor"/>
      </rPr>
      <t xml:space="preserve">
Others:
</t>
    </r>
    <r>
      <rPr>
        <sz val="11"/>
        <color theme="1"/>
        <rFont val="Calibri"/>
        <family val="2"/>
        <scheme val="minor"/>
      </rPr>
      <t>1. High Alumina Laterite - 31733
2. Gypsum Natural - 192927
3. Laterite - 114256
4. Hand Broken - 14467
5. Red Mud - NA
6. FGD Gypsum - 18976
7. Fly Ash - 961245</t>
    </r>
  </si>
  <si>
    <t>1. Red Mud
2. FGD Gypsum
3. Fly Ash
4. Badash</t>
  </si>
  <si>
    <t>1. 3960
2. 5270
3. 923068
4. 0</t>
  </si>
  <si>
    <t>1. 3807
2. 2122
3. 1010363
4. 0</t>
  </si>
  <si>
    <t>1. NA
2. 18976
3. 961245
4. 19244</t>
  </si>
  <si>
    <t>Refer to offline response</t>
  </si>
  <si>
    <t>1. WHRS
2. Solar Power Unit 2
3. Alternative Fuels (AFR) Handling System
(Solid + Liquid AFR)</t>
  </si>
  <si>
    <t>1. 200
2. 19
3. 67.18</t>
  </si>
  <si>
    <t>f3575627-2c75-4713-9600-2aaebab4acad</t>
  </si>
  <si>
    <t>uuid:f3575627-2c75-4713-9600-2aaebab4acad</t>
  </si>
  <si>
    <t xml:space="preserve">UltraTech Cement Limited, 
Unit: Bela Cement Works  </t>
  </si>
  <si>
    <t>Rewa</t>
  </si>
  <si>
    <t>Santosh Shukla</t>
  </si>
  <si>
    <t>utcl-bcw.cpcb@adityabirla.com</t>
  </si>
  <si>
    <t>1 Rotary Kiln (Dry Process)</t>
  </si>
  <si>
    <t>1. Indigenous Coal
2. Imported Coal
3. Imported Petcoke
4. Indigenous Petcoke</t>
  </si>
  <si>
    <t>1. South Eastern Coal Ltd.
2. Javelin Global Commodities (UK) Ltd.
3. Sinopec International
4. Reliance Industries, IOCL &amp; BPCL</t>
  </si>
  <si>
    <t>1. 16.32
2. 29.84
3. 33.98
4. 34.07</t>
  </si>
  <si>
    <t xml:space="preserve">Quarterly </t>
  </si>
  <si>
    <t>865-885</t>
  </si>
  <si>
    <t>1. Annual Electricity Consumption -
175530
2. Upto Clinkerization Section - 93555
3. Aux &amp; Offices - 6260
4. Crushers - 4438
5. Packing Plant - 2322</t>
  </si>
  <si>
    <t>1. WHRS
2. Captive power plant (CPP)</t>
  </si>
  <si>
    <t>1. 13
2. 28</t>
  </si>
  <si>
    <t xml:space="preserve">0.727 (t CO₂e/MWh) </t>
  </si>
  <si>
    <t>Solar</t>
  </si>
  <si>
    <t>1. Fly Ash
2. Limestone</t>
  </si>
  <si>
    <t>1. 34.59%
2. 4.76%</t>
  </si>
  <si>
    <r>
      <rPr>
        <b/>
        <sz val="11"/>
        <color theme="1"/>
        <rFont val="Calibri"/>
        <family val="2"/>
        <scheme val="minor"/>
      </rPr>
      <t xml:space="preserve">Limestone: </t>
    </r>
    <r>
      <rPr>
        <sz val="11"/>
        <color theme="1"/>
        <rFont val="Calibri"/>
        <family val="2"/>
        <scheme val="minor"/>
      </rPr>
      <t xml:space="preserve">2833218
</t>
    </r>
    <r>
      <rPr>
        <b/>
        <sz val="11"/>
        <color theme="1"/>
        <rFont val="Calibri"/>
        <family val="2"/>
        <scheme val="minor"/>
      </rPr>
      <t>Others:</t>
    </r>
    <r>
      <rPr>
        <sz val="11"/>
        <color theme="1"/>
        <rFont val="Calibri"/>
        <family val="2"/>
        <scheme val="minor"/>
      </rPr>
      <t xml:space="preserve">
1. Laterite - 88551
2. Red Mud - 78284</t>
    </r>
  </si>
  <si>
    <r>
      <rPr>
        <b/>
        <sz val="11"/>
        <color theme="1"/>
        <rFont val="Calibri"/>
        <family val="2"/>
        <scheme val="minor"/>
      </rPr>
      <t xml:space="preserve">Limestone: </t>
    </r>
    <r>
      <rPr>
        <sz val="11"/>
        <color theme="1"/>
        <rFont val="Calibri"/>
        <family val="2"/>
        <scheme val="minor"/>
      </rPr>
      <t xml:space="preserve">2427378
</t>
    </r>
    <r>
      <rPr>
        <b/>
        <sz val="11"/>
        <color theme="1"/>
        <rFont val="Calibri"/>
        <family val="2"/>
        <scheme val="minor"/>
      </rPr>
      <t>Others:</t>
    </r>
    <r>
      <rPr>
        <sz val="11"/>
        <color theme="1"/>
        <rFont val="Calibri"/>
        <family val="2"/>
        <scheme val="minor"/>
      </rPr>
      <t xml:space="preserve">
1. Laterite - 106941
2. Red Mud - 37424</t>
    </r>
  </si>
  <si>
    <r>
      <rPr>
        <b/>
        <sz val="11"/>
        <color theme="1"/>
        <rFont val="Calibri"/>
        <family val="2"/>
        <scheme val="minor"/>
      </rPr>
      <t xml:space="preserve">Limestone: </t>
    </r>
    <r>
      <rPr>
        <sz val="11"/>
        <color theme="1"/>
        <rFont val="Calibri"/>
        <family val="2"/>
        <scheme val="minor"/>
      </rPr>
      <t xml:space="preserve">2555486
</t>
    </r>
    <r>
      <rPr>
        <b/>
        <sz val="11"/>
        <color theme="1"/>
        <rFont val="Calibri"/>
        <family val="2"/>
        <scheme val="minor"/>
      </rPr>
      <t>Others:</t>
    </r>
    <r>
      <rPr>
        <sz val="11"/>
        <color theme="1"/>
        <rFont val="Calibri"/>
        <family val="2"/>
        <scheme val="minor"/>
      </rPr>
      <t xml:space="preserve">
1. Laterite - 108373
2. Red Mud - 25419</t>
    </r>
  </si>
  <si>
    <t>1. Fly Ash
2. Chemical and FGD Gypsum
3. Redmud</t>
  </si>
  <si>
    <t xml:space="preserve">1. 306740
2. 18262
3. 78284 </t>
  </si>
  <si>
    <t>1. 317546
2. 21825
3. 37424</t>
  </si>
  <si>
    <t>1. 311898
2. 22421
3. 25419</t>
  </si>
  <si>
    <t xml:space="preserve"> Raw material pre‑blending/homogenization is implemented to ensure consistent chemical 
composition before feeding into the raw mill. Materials such as limestone, clay, and additives 
are stacked and reclaimed and feeding by weigh feeder in a controlled manner to achieve 
uniform quality, reduce variability, and improve kiln performance. </t>
  </si>
  <si>
    <t>Total Co2 Emission</t>
  </si>
  <si>
    <t xml:space="preserve">Portland Pozzolana Cement 
</t>
  </si>
  <si>
    <t xml:space="preserve"> We have both bagged &amp; 
bulk dispatch at Bela cement. For Bag we have std. size of 50 kg bag.</t>
  </si>
  <si>
    <t>For plant we don’t have any such road map for decarbonization.
However, for group level we have net zero target.</t>
  </si>
  <si>
    <t>Any regulatory constraints 
affecting fuel switching or waste co-processing &amp; but 
any material change Co-Processing MPPCB Permission (Fresh CTE &amp; CTO) is 
required.</t>
  </si>
  <si>
    <t>1.Process Emissions from Limestone Calcination 
2.High Cost and Complexity of Carbon Capture 
3.Limited Availability of Low-Carbon Alternatives 
4.Energy Transition Challenges (Fuels &amp; Power) 
5.Regulatory, Market, and Investment Barriers</t>
  </si>
  <si>
    <t>Yes, all the above enablers are our internal strength</t>
  </si>
  <si>
    <t>931da0a5-d48b-4e74-a9ce-b563c598831b</t>
  </si>
  <si>
    <t>uuid:931da0a5-d48b-4e74-a9ce-b563c598831b</t>
  </si>
  <si>
    <t xml:space="preserve">UltraTech Cement Limited, 
Unit: Maihar Cement Works  </t>
  </si>
  <si>
    <t>Maihar</t>
  </si>
  <si>
    <t>Bijneswar Mohanty</t>
  </si>
  <si>
    <t>President &amp; Unit Head</t>
  </si>
  <si>
    <t>mcw.env@adityabirla.com</t>
  </si>
  <si>
    <t xml:space="preserve">Dry process - After Expansion Production Line – Line – I Kiln : 3750 TPD,
Line – II Kiln : 3750 TPD &amp; Line – III Kiln : 4500 TPD, Line-4 Kiln-10,000 TPD </t>
  </si>
  <si>
    <t>1. Domestic Coal
2. Imported Coal
3. Domestic Pet Coke
4. Imported Pet Coke
5. Biomass
6. Others AFR</t>
  </si>
  <si>
    <t>1. SECL (South East Coal Field Ltd) &amp;
NCL (Northern Coal Ltd)
2. USA
3. BPCL Pet Coke (Bharat Petroleum Corporation, IOCL)
4. USA, Saudi
5. Domestic
6. Domestic</t>
  </si>
  <si>
    <t>1. India
2. US
3. India 
4. USA &amp; Saudi
5. India
6. India</t>
  </si>
  <si>
    <t>1. 18.83
2. 28.96
3. 32.34
4. 32.17
5. NA
6. 12.63</t>
  </si>
  <si>
    <t>1. RDF Plastic Waste
2. Bio Briquettes</t>
  </si>
  <si>
    <t>1. 31.810
2. 1002.580</t>
  </si>
  <si>
    <t>1. CPP
2. WHRS (Lines I, II &amp; III)
3. WHRS Line IV
4. Solar Power Plant</t>
  </si>
  <si>
    <t>1. 31.4
2. 20
3. 16.6
4. 10.68 (DC Capacity)
and 8.75 (AC Capacity)</t>
  </si>
  <si>
    <t>0.710 kg CO2e/kWh</t>
  </si>
  <si>
    <t>1. Onsite Solar
2. Hybrid Power</t>
  </si>
  <si>
    <t>1.  10.68 (DC Capacity)
and 8.75 (AC Capacity)
2. 31</t>
  </si>
  <si>
    <t>1. 4549520
2. 19870922</t>
  </si>
  <si>
    <t xml:space="preserve">1. Fly Ash
2. Gypsum
3. Limestone (PI) </t>
  </si>
  <si>
    <t>1. 20.11%
2. 1.89%
3. 1.91%</t>
  </si>
  <si>
    <r>
      <t xml:space="preserve">Limestone: </t>
    </r>
    <r>
      <rPr>
        <sz val="11"/>
        <color theme="1"/>
        <rFont val="Calibri"/>
        <family val="2"/>
        <scheme val="minor"/>
      </rPr>
      <t xml:space="preserve">3333410
</t>
    </r>
    <r>
      <rPr>
        <b/>
        <sz val="11"/>
        <color theme="1"/>
        <rFont val="Calibri"/>
        <family val="2"/>
        <scheme val="minor"/>
      </rPr>
      <t xml:space="preserve">Others:
</t>
    </r>
    <r>
      <rPr>
        <sz val="11"/>
        <color theme="1"/>
        <rFont val="Calibri"/>
        <family val="2"/>
        <scheme val="minor"/>
      </rPr>
      <t>1. Laterite - 90017
2. Bauxite - 668
3. Red Ochre - 0
4. Red Mud - 82363
5. Fly Ash - 621311
6. Gypsum - 70639
7. Limestone Sweetner - 0
8. Slag - 163
9. ETP Sludge - 0</t>
    </r>
  </si>
  <si>
    <r>
      <t xml:space="preserve">Limestone: </t>
    </r>
    <r>
      <rPr>
        <sz val="11"/>
        <color theme="1"/>
        <rFont val="Calibri"/>
        <family val="2"/>
        <scheme val="minor"/>
      </rPr>
      <t xml:space="preserve">3486372
</t>
    </r>
    <r>
      <rPr>
        <b/>
        <sz val="11"/>
        <color theme="1"/>
        <rFont val="Calibri"/>
        <family val="2"/>
        <scheme val="minor"/>
      </rPr>
      <t xml:space="preserve">Others:
</t>
    </r>
    <r>
      <rPr>
        <sz val="11"/>
        <color theme="1"/>
        <rFont val="Calibri"/>
        <family val="2"/>
        <scheme val="minor"/>
      </rPr>
      <t>1. Laterite - 91450
2. Bauxite - 0
3. Red Ochre - 0
4. Red Mud - 95892
5. Fly Ash - 540277
6. Gypsum - 58117
7. Limestone Sweetner - 0
8. Slag - 0
9. ETP Sludge - 0</t>
    </r>
  </si>
  <si>
    <r>
      <t xml:space="preserve">Limestone: </t>
    </r>
    <r>
      <rPr>
        <sz val="11"/>
        <color theme="1"/>
        <rFont val="Calibri"/>
        <family val="2"/>
        <scheme val="minor"/>
      </rPr>
      <t xml:space="preserve">4125860
</t>
    </r>
    <r>
      <rPr>
        <b/>
        <sz val="11"/>
        <color theme="1"/>
        <rFont val="Calibri"/>
        <family val="2"/>
        <scheme val="minor"/>
      </rPr>
      <t xml:space="preserve">Others:
</t>
    </r>
    <r>
      <rPr>
        <sz val="11"/>
        <color theme="1"/>
        <rFont val="Calibri"/>
        <family val="2"/>
        <scheme val="minor"/>
      </rPr>
      <t>1. Laterite - 116319
2. Bauxite - 0
3. Red Ochre - 0
4. Red Mud - 107056
5. Fly Ash - 533407
6. Gypsum - 49726
7. Limestone Sweetner - 302415
8. Slag - 25
9. ETP Sludge - 19</t>
    </r>
  </si>
  <si>
    <t>1. Cloth Waste
2. Plastic Waste (RDF)
3. Cow Dung (CPP)</t>
  </si>
  <si>
    <t>1. 44260000
2. 648480000
3. 3500000</t>
  </si>
  <si>
    <t>1. 40900000
2. 210000000
3. 137000</t>
  </si>
  <si>
    <t>1. NA
2. NA 
3. 10028040</t>
  </si>
  <si>
    <t xml:space="preserve">Energy Mgt System – Apex Manual
ISO 50001- Certificates from M/s SGS, Different Energy Mgt Syst related Procedure, Energy Policy </t>
  </si>
  <si>
    <t>The plant operation and control is through DCS ( PLC-SCADA system, I/O panels, controllers and HMI interface system.</t>
  </si>
  <si>
    <t>HDPE Bags 1.50 Kg  packaging 
used for ton cement ( i.e. 20 bags per tonne)
We have both bagged &amp; Loose cement. Loose cement is transmitted in close bulker at Maihar Cement Works. One Cement bag std Size of 50 KG bag</t>
  </si>
  <si>
    <t xml:space="preserve">Total </t>
  </si>
  <si>
    <t>c53a6869-6aa4-4201-bee9-df5da8f88d52</t>
  </si>
  <si>
    <t>uuid:c53a6869-6aa4-4201-bee9-df5da8f88d52</t>
  </si>
  <si>
    <t xml:space="preserve">UltraTech Cement Limited, 
Unit: Dhar Cement Works  </t>
  </si>
  <si>
    <t>Dhar</t>
  </si>
  <si>
    <t>Vijay Chhabra</t>
  </si>
  <si>
    <t>utcl-Dhar.cpcb@adityabirla.com</t>
  </si>
  <si>
    <t xml:space="preserve">Line-1  Kiln Capacity: 7200 TPD Preheader Line-1: PRE-HEATER-6STAGE
Line-2 Kiln Capacity: 8000TPD Preheader Line-2: PRE-HEATER-6STAGE 
Kiln Line – I &amp; II: Inline Calciner (ILC)
</t>
  </si>
  <si>
    <t>1. NA
2. NA
3. IOCL
4. NA
5. NA
6. NA</t>
  </si>
  <si>
    <t>1. India
2. USA
3. India
4. USA, Oman, Saudi
5. India
6. India</t>
  </si>
  <si>
    <t>1. 0
2. 31.21
3. 0
4. 34.06
5. 17.15
6. 16.80</t>
  </si>
  <si>
    <t>1. Non-Hazardous Waste
2. Hazardous Waste</t>
  </si>
  <si>
    <t>1. 118436.842
2. 15001.73</t>
  </si>
  <si>
    <t>1250-1400</t>
  </si>
  <si>
    <t>Line 1 - 111185.4
Line 2 - 123049.54</t>
  </si>
  <si>
    <t>Line 1 - 91512.43
Line 2 - 35750.96</t>
  </si>
  <si>
    <t>Crusher &amp; Misc Power -
Line 1 - 17912.409
Line 2 - 6275.24</t>
  </si>
  <si>
    <t>1. WHRS
2. Solar Power Plant</t>
  </si>
  <si>
    <t>1. 31
2. 15</t>
  </si>
  <si>
    <t>1. WHRS 
2. Solar On Site
3. Solar Off Site
4. Wind Off Site</t>
  </si>
  <si>
    <t>1. 31
2. 15
3. 30
4. 30</t>
  </si>
  <si>
    <t>1. 142945194.8
2. 19030100
3. 0
4. 0</t>
  </si>
  <si>
    <r>
      <rPr>
        <b/>
        <sz val="11"/>
        <color theme="1"/>
        <rFont val="Calibri"/>
        <family val="2"/>
        <scheme val="minor"/>
      </rPr>
      <t xml:space="preserve">Limestone: </t>
    </r>
    <r>
      <rPr>
        <sz val="11"/>
        <color theme="1"/>
        <rFont val="Calibri"/>
        <family val="2"/>
        <scheme val="minor"/>
      </rPr>
      <t xml:space="preserve">4390778.97
</t>
    </r>
    <r>
      <rPr>
        <b/>
        <sz val="11"/>
        <color theme="1"/>
        <rFont val="Calibri"/>
        <family val="2"/>
        <scheme val="minor"/>
      </rPr>
      <t>Others:</t>
    </r>
    <r>
      <rPr>
        <sz val="11"/>
        <color theme="1"/>
        <rFont val="Calibri"/>
        <family val="2"/>
        <scheme val="minor"/>
      </rPr>
      <t xml:space="preserve">
1. Laterite high grade - 2679 
2. Bauxite - 26259.45
3. Red Ochre -80
4. Fly Ash - 730147.636
5. Pond Ash - 16202.93
6. Slag Copper - 39864.45
7. BF Sludge - 462
8. Muram - NA
9. Slag - NA
10. Sweetner - NA</t>
    </r>
  </si>
  <si>
    <r>
      <rPr>
        <b/>
        <sz val="11"/>
        <color theme="1"/>
        <rFont val="Calibri"/>
        <family val="2"/>
        <scheme val="minor"/>
      </rPr>
      <t xml:space="preserve">Limestone: </t>
    </r>
    <r>
      <rPr>
        <sz val="11"/>
        <color theme="1"/>
        <rFont val="Calibri"/>
        <family val="2"/>
        <scheme val="minor"/>
      </rPr>
      <t xml:space="preserve">7210901.49
</t>
    </r>
    <r>
      <rPr>
        <b/>
        <sz val="11"/>
        <color theme="1"/>
        <rFont val="Calibri"/>
        <family val="2"/>
        <scheme val="minor"/>
      </rPr>
      <t>Others:</t>
    </r>
    <r>
      <rPr>
        <sz val="11"/>
        <color theme="1"/>
        <rFont val="Calibri"/>
        <family val="2"/>
        <scheme val="minor"/>
      </rPr>
      <t xml:space="preserve">
1. Laterite high grade - 0.85 
2. Bauxite - 8742.46
3. Red Ochre - 167.50
4. Fly Ash - 886505.65
5. Pond Ash -  48817.97
6. Slag Copper - 76773. 63
7. BF Sludge - 855.75
8. Muram - 199997.09
9. Slag - 1078.42
10. Sweetner - 7528.81</t>
    </r>
  </si>
  <si>
    <r>
      <rPr>
        <b/>
        <sz val="11"/>
        <color theme="1"/>
        <rFont val="Calibri"/>
        <family val="2"/>
        <scheme val="minor"/>
      </rPr>
      <t xml:space="preserve">Limestone: </t>
    </r>
    <r>
      <rPr>
        <sz val="11"/>
        <color theme="1"/>
        <rFont val="Calibri"/>
        <family val="2"/>
        <scheme val="minor"/>
      </rPr>
      <t xml:space="preserve">7569661.16
</t>
    </r>
    <r>
      <rPr>
        <b/>
        <sz val="11"/>
        <color theme="1"/>
        <rFont val="Calibri"/>
        <family val="2"/>
        <scheme val="minor"/>
      </rPr>
      <t>Others:</t>
    </r>
    <r>
      <rPr>
        <sz val="11"/>
        <color theme="1"/>
        <rFont val="Calibri"/>
        <family val="2"/>
        <scheme val="minor"/>
      </rPr>
      <t xml:space="preserve">
1. Laterite high grade - NA
2. Bauxite - 18734
3. Red Ochre - NA
4. Fly Ash - 983321
5. Pond Ash - 15632
6. Slag Copper - 38582
7. BF Sludge -  NA
8. Muram - 82002.90
9. Slag - NA
10. Sweetner - 384</t>
    </r>
  </si>
  <si>
    <t>1. Calcium sulphate
2. Gypsum chemical
3. Gypsum carbon
4. Gypsum phospho
5. Gypsum chemical haz
6. Gypsum unhydrated
7. Gypsum marine
8. Gypsum FGD
9. PI as limestone
10. Flyash dry + flyash drye
11. Flyash pond
12. Slag</t>
  </si>
  <si>
    <t>1. 1550.32 
2. 2591.44 
3. NA 
4. NA 
5. 3648.54 
6. 457.29 
7. 23282.63 
8. 1934.14 
9. 21253.23 
10. 730147.636 
11. 16202.93 12. NA</t>
  </si>
  <si>
    <t>1. 1645.45 
2. 2915.40 
3. 82.0 
4. 12090.18 
5. 1956.21 
6. NA 
7. 6349.02 
8. 12199.08 
9. 22541.83 
10. 886505.65 
11. 48817.97 
12. NA</t>
  </si>
  <si>
    <t>1. NA 
2. NA 
3. 659.612 
4. 33655.00 
5. 2023.00 
6. NA 
7. NA 
8. 10130.71 
9. 31990.00 
10. 983321.00 
11. 15632.00 
12. 51</t>
  </si>
  <si>
    <t>Pre blending in Raw mill silo and cement mill (RM01&amp;02 is VRM)</t>
  </si>
  <si>
    <t>The plant operation and 
control is through the PLC-SCADA system, I/O panels, controllers and  HMI interface system.</t>
  </si>
  <si>
    <t>We have both bagged &amp; 
bulk dispatch at Dhar cement. For Bulk we have std. size of 50 kg bag</t>
  </si>
  <si>
    <t>1. WHRS Line 1 (2018)
2. WHRS Line 2 (2023)</t>
  </si>
  <si>
    <t>5b873efb-4a10-4dc4-8142-65b152140ff0</t>
  </si>
  <si>
    <t>uuid:5b873efb-4a10-4dc4-8142-65b152140ff0</t>
  </si>
  <si>
    <t>Diamond Cements , (Clinkerisation Unit 3.1MTPA)</t>
  </si>
  <si>
    <t>Damoh</t>
  </si>
  <si>
    <t>Ashok Tiwari</t>
  </si>
  <si>
    <t>Head Environment</t>
  </si>
  <si>
    <t>ashokkumar.tiwari@heidelbergcement.in</t>
  </si>
  <si>
    <t xml:space="preserve">Line_1: 5 stage single string Preheater with ILC, dry process rotary kiln capacity: 1636TPD 
Line_2: 6 stage single Preheater with Pre-calciner ILC, dry process rotary kiln capacity: 2365   TPD 
Line_3: 5 stage double string Preheater with Pre-calciner ILC, dry process rotary kiln capacity: 5000TPD </t>
  </si>
  <si>
    <t>1. Coal
2. Pet Coke</t>
  </si>
  <si>
    <t>1. 174964.56
2. 167502.220</t>
  </si>
  <si>
    <t>1. PHIL Coal/SECL
2. BPCL/IOCL/ NAYARA</t>
  </si>
  <si>
    <t xml:space="preserve">1. India
2. India
</t>
  </si>
  <si>
    <t>1. 4909</t>
  </si>
  <si>
    <t>1.  Biomass (Rice Husk/Mix Husk/ Soya Husk)
2. Flexible plastic waste/RDF</t>
  </si>
  <si>
    <t>1. 31811.24
2. 27776.46</t>
  </si>
  <si>
    <t>1000-1200</t>
  </si>
  <si>
    <t>Colony Power Consumption -
1478.02</t>
  </si>
  <si>
    <t>1. WHRS Steam Turbine
2. Solar Ground Mounter</t>
  </si>
  <si>
    <t>1. 15
2. 5</t>
  </si>
  <si>
    <t>Grid emission factor - 0.00071
 &amp; Source-DISCOM</t>
  </si>
  <si>
    <t>1. Hybrid Power through PFA (Solar + Wind)
2. Onsite own solar power plant</t>
  </si>
  <si>
    <t>1. 8.5
2. 5</t>
  </si>
  <si>
    <t>1. 13716.4
2. 9162.18</t>
  </si>
  <si>
    <t>Please refer to offline response</t>
  </si>
  <si>
    <r>
      <t xml:space="preserve">Limestone: </t>
    </r>
    <r>
      <rPr>
        <sz val="11"/>
        <color theme="1"/>
        <rFont val="Calibri"/>
        <family val="2"/>
        <scheme val="minor"/>
      </rPr>
      <t>3496938</t>
    </r>
    <r>
      <rPr>
        <b/>
        <sz val="11"/>
        <color theme="1"/>
        <rFont val="Calibri"/>
        <family val="2"/>
        <scheme val="minor"/>
      </rPr>
      <t xml:space="preserve">
Iron Ore: </t>
    </r>
    <r>
      <rPr>
        <sz val="11"/>
        <color theme="1"/>
        <rFont val="Calibri"/>
        <family val="2"/>
        <scheme val="minor"/>
      </rPr>
      <t>6561</t>
    </r>
    <r>
      <rPr>
        <b/>
        <sz val="11"/>
        <color theme="1"/>
        <rFont val="Calibri"/>
        <family val="2"/>
        <scheme val="minor"/>
      </rPr>
      <t xml:space="preserve">
Others: 
</t>
    </r>
    <r>
      <rPr>
        <sz val="11"/>
        <color theme="1"/>
        <rFont val="Calibri"/>
        <family val="2"/>
        <scheme val="minor"/>
      </rPr>
      <t xml:space="preserve">1. Limestone Highgrade/Sweetner - 450170
2. Laterite - 33934
</t>
    </r>
    <r>
      <rPr>
        <b/>
        <sz val="11"/>
        <color theme="1"/>
        <rFont val="Calibri"/>
        <family val="2"/>
        <scheme val="minor"/>
      </rPr>
      <t xml:space="preserve">3. </t>
    </r>
    <r>
      <rPr>
        <sz val="11"/>
        <color theme="1"/>
        <rFont val="Calibri"/>
        <family val="2"/>
        <scheme val="minor"/>
      </rPr>
      <t>Bauxite - 26439</t>
    </r>
  </si>
  <si>
    <r>
      <t xml:space="preserve">Limestone: </t>
    </r>
    <r>
      <rPr>
        <sz val="11"/>
        <color theme="1"/>
        <rFont val="Calibri"/>
        <family val="2"/>
        <scheme val="minor"/>
      </rPr>
      <t>3826572</t>
    </r>
    <r>
      <rPr>
        <b/>
        <sz val="11"/>
        <color theme="1"/>
        <rFont val="Calibri"/>
        <family val="2"/>
        <scheme val="minor"/>
      </rPr>
      <t xml:space="preserve">
Iron Ore: </t>
    </r>
    <r>
      <rPr>
        <sz val="11"/>
        <color theme="1"/>
        <rFont val="Calibri"/>
        <family val="2"/>
        <scheme val="minor"/>
      </rPr>
      <t xml:space="preserve">30368
</t>
    </r>
    <r>
      <rPr>
        <b/>
        <sz val="11"/>
        <color theme="1"/>
        <rFont val="Calibri"/>
        <family val="2"/>
        <scheme val="minor"/>
      </rPr>
      <t xml:space="preserve">
Others: 
</t>
    </r>
    <r>
      <rPr>
        <sz val="11"/>
        <color theme="1"/>
        <rFont val="Calibri"/>
        <family val="2"/>
        <scheme val="minor"/>
      </rPr>
      <t xml:space="preserve">1. Limestone Highgrade/Sweetner - 618083
2. Laterite - 13563
</t>
    </r>
    <r>
      <rPr>
        <b/>
        <sz val="11"/>
        <color theme="1"/>
        <rFont val="Calibri"/>
        <family val="2"/>
        <scheme val="minor"/>
      </rPr>
      <t xml:space="preserve">3. </t>
    </r>
    <r>
      <rPr>
        <sz val="11"/>
        <color theme="1"/>
        <rFont val="Calibri"/>
        <family val="2"/>
        <scheme val="minor"/>
      </rPr>
      <t>Bauxite - 9937</t>
    </r>
  </si>
  <si>
    <r>
      <t xml:space="preserve">Limestone: </t>
    </r>
    <r>
      <rPr>
        <sz val="11"/>
        <color theme="1"/>
        <rFont val="Calibri"/>
        <family val="2"/>
        <scheme val="minor"/>
      </rPr>
      <t>3596824</t>
    </r>
    <r>
      <rPr>
        <b/>
        <sz val="11"/>
        <color theme="1"/>
        <rFont val="Calibri"/>
        <family val="2"/>
        <scheme val="minor"/>
      </rPr>
      <t xml:space="preserve">
Iron Ore: </t>
    </r>
    <r>
      <rPr>
        <sz val="11"/>
        <color theme="1"/>
        <rFont val="Calibri"/>
        <family val="2"/>
        <scheme val="minor"/>
      </rPr>
      <t>9597</t>
    </r>
    <r>
      <rPr>
        <b/>
        <sz val="11"/>
        <color theme="1"/>
        <rFont val="Calibri"/>
        <family val="2"/>
        <scheme val="minor"/>
      </rPr>
      <t xml:space="preserve"> 
Others: 
</t>
    </r>
    <r>
      <rPr>
        <sz val="11"/>
        <color theme="1"/>
        <rFont val="Calibri"/>
        <family val="2"/>
        <scheme val="minor"/>
      </rPr>
      <t xml:space="preserve">1. Limestone Highgrade/Sweetner - 383221 
2. Laterite - 28027
</t>
    </r>
    <r>
      <rPr>
        <b/>
        <sz val="11"/>
        <color theme="1"/>
        <rFont val="Calibri"/>
        <family val="2"/>
        <scheme val="minor"/>
      </rPr>
      <t xml:space="preserve">3. </t>
    </r>
    <r>
      <rPr>
        <sz val="11"/>
        <color theme="1"/>
        <rFont val="Calibri"/>
        <family val="2"/>
        <scheme val="minor"/>
      </rPr>
      <t>Bauxite - 4586</t>
    </r>
  </si>
  <si>
    <t>1. Red Mud</t>
  </si>
  <si>
    <t>1. 18867</t>
  </si>
  <si>
    <t>1. 32569</t>
  </si>
  <si>
    <t>1. 33164</t>
  </si>
  <si>
    <t>Raw material pre-blending and homogenization are carried out through a stacker–reclaimer system 
installed in the raw material yard. Limestone and other corrective materials are stacked in a controlled 
manner using a stacker and subsequently reclaimed by a reclaimer, ensuring effective mixing and 
homogenization of the raw mix. This system helps in minimizing raw material variability, maintaining 
consistent chemical composition of kiln feed, improving kiln stability, and enhancing overall process</t>
  </si>
  <si>
    <t xml:space="preserve">Energy Management System 
(ISO 50001:2018) </t>
  </si>
  <si>
    <t>High Efficiency Cyclones</t>
  </si>
  <si>
    <t>ABB System, 800xA-6.1.1</t>
  </si>
  <si>
    <t xml:space="preserve">1. Scope 1 (Fuel) 
2. Scope 2 (Power) 
3. Scope 3 (Logistics)
</t>
  </si>
  <si>
    <t>1. 2209448.443
2. 74667
3. NA</t>
  </si>
  <si>
    <t xml:space="preserve"> No</t>
  </si>
  <si>
    <t xml:space="preserve">Biomass substitution- 
➢ Furthermore, we have obtained approval to co-process solid waste including plastic, rice husk, 
mustard husk, sawdust, and wooden bark to increase the Thermal Substitution Rate (TSR) 
➢ These measures have significantly reduced the use of coal, thereby decreasing Scope 1 GHG 
emissions. The substitution of fossil fuels with AFR contributes to our de-carbonization strategy in 
alignment with the GHG Protocol's fuel-switching guidance. </t>
  </si>
  <si>
    <t xml:space="preserve">Environmental Product Declarations (EPDs) are third-party verified documents that transparently 
communicate the environmental performance of a product based on Life Cycle Assessment (LCA). EPDs 
provide standardized information on impacts such as carbon footprint, energy use, and resource 
consumption, enabling customers and stakeholders to make informed, sustainable purchasing decisions. </t>
  </si>
  <si>
    <t xml:space="preserve"> The clinker being dispatched in
 bulk through Rail, Ropeway and Hiva.</t>
  </si>
  <si>
    <t>1. WHRS
2. Solar Power Plant
3. AFR Handling System</t>
  </si>
  <si>
    <t>1. 186
2. 9.34
3. 32.28</t>
  </si>
  <si>
    <t xml:space="preserve"> 
1. Non-availability of 
segregated waste. 
2. Poor heat value. 
3. Contamination of metallic 
and nonmetallic parts 
creating issues in 
coprocessing. 
4. High Moisture. 
5. Un-shredded. </t>
  </si>
  <si>
    <t xml:space="preserve">
1. Financial Support from 
Group. 
2. Proven technology for co
processing. 
3. Pre-Processing facility 
availability at site. 
4. Quality control with latest 
monitoring technology. 
5. Existing WHRS </t>
  </si>
  <si>
    <t>53b7537c-0860-4ec1-801f-9fa15a8e1d5f</t>
  </si>
  <si>
    <t>uuid:53b7537c-0860-4ec1-801f-9fa15a8e1d5f</t>
  </si>
  <si>
    <t>ACC Cement (Adani)</t>
  </si>
  <si>
    <t>Kemare Kalni</t>
  </si>
  <si>
    <t>Suresh Patel</t>
  </si>
  <si>
    <t>Section Head (Environment)</t>
  </si>
  <si>
    <t>sureshkumar.patel9@adani.com</t>
  </si>
  <si>
    <t>Line 1 - Dry Process - Rotary Kiln - 7200 TPD</t>
  </si>
  <si>
    <t>Please check offline response</t>
  </si>
  <si>
    <t xml:space="preserve">Total Annual Electricity 
Consumption - 
781.1739 </t>
  </si>
  <si>
    <t>WHRS Steam Turbine</t>
  </si>
  <si>
    <t>The lateest is 0.710kg CO2e/Kwh,
 Source is CEA</t>
  </si>
  <si>
    <t>1. Gypsum 
2. Phospho Gypsum
3. Fly Ash</t>
  </si>
  <si>
    <t>1. 4.52%
2. 5.49%
3. 52.37%</t>
  </si>
  <si>
    <r>
      <t xml:space="preserve">Limestone: </t>
    </r>
    <r>
      <rPr>
        <sz val="11"/>
        <color theme="1"/>
        <rFont val="Calibri"/>
        <family val="2"/>
        <scheme val="minor"/>
      </rPr>
      <t>1819378.453</t>
    </r>
    <r>
      <rPr>
        <b/>
        <sz val="11"/>
        <color theme="1"/>
        <rFont val="Calibri"/>
        <family val="2"/>
        <scheme val="minor"/>
      </rPr>
      <t xml:space="preserve">
Clay: </t>
    </r>
    <r>
      <rPr>
        <sz val="11"/>
        <color theme="1"/>
        <rFont val="Calibri"/>
        <family val="2"/>
        <scheme val="minor"/>
      </rPr>
      <t>179260.2656</t>
    </r>
    <r>
      <rPr>
        <b/>
        <sz val="11"/>
        <color theme="1"/>
        <rFont val="Calibri"/>
        <family val="2"/>
        <scheme val="minor"/>
      </rPr>
      <t xml:space="preserve">
Others: 
</t>
    </r>
    <r>
      <rPr>
        <sz val="11"/>
        <color theme="1"/>
        <rFont val="Calibri"/>
        <family val="2"/>
        <scheme val="minor"/>
      </rPr>
      <t xml:space="preserve">1. Laterite - 1872.299
2. Coal - 211286.455
3. Pet Coke - 982.818
4. Bed Ash - 36.2961
5. Slag - 4759.2400
6. Bauxite -  0
7. Fly Ash - 77307.36
8. Diesel - 145.3664
9. Soda Ash - 30.49
10. Allumion Laterite - 179260.2656
</t>
    </r>
  </si>
  <si>
    <r>
      <t xml:space="preserve">Limestone: </t>
    </r>
    <r>
      <rPr>
        <sz val="11"/>
        <color theme="1"/>
        <rFont val="Calibri"/>
        <family val="2"/>
        <scheme val="minor"/>
      </rPr>
      <t>1671687.921</t>
    </r>
    <r>
      <rPr>
        <b/>
        <sz val="11"/>
        <color theme="1"/>
        <rFont val="Calibri"/>
        <family val="2"/>
        <scheme val="minor"/>
      </rPr>
      <t xml:space="preserve">
Clay: </t>
    </r>
    <r>
      <rPr>
        <sz val="11"/>
        <color theme="1"/>
        <rFont val="Calibri"/>
        <family val="2"/>
        <scheme val="minor"/>
      </rPr>
      <t>183937.9518</t>
    </r>
    <r>
      <rPr>
        <b/>
        <sz val="11"/>
        <color theme="1"/>
        <rFont val="Calibri"/>
        <family val="2"/>
        <scheme val="minor"/>
      </rPr>
      <t xml:space="preserve">
Others: 
</t>
    </r>
    <r>
      <rPr>
        <sz val="11"/>
        <color theme="1"/>
        <rFont val="Calibri"/>
        <family val="2"/>
        <scheme val="minor"/>
      </rPr>
      <t xml:space="preserve">1. Laterite - 28497.962
2. Coal - 207162.045
3. Pet Coke -  0
4. Bed Ash - 69.0241
5. Slag - 20434.9015
6. Bauxite -  0
7. Fly Ash - 77307.35
8. Diesel -  126.6979
9. Soda Ash - 24.27
10. Allumion Laterite - 48570.64947
</t>
    </r>
  </si>
  <si>
    <t>Process CO2 (calcination) : Process 
emissions are estimated using the mass-balance calculation approach based on the CaO and MgO content of the raw material, kiln feed chemical composition and actual clinker production. The resulting CO2 emission are derived using stoichiometric conversion factors for carbonate decomposition (eg. CaCO3 = CaO + CO2) in accordance with the CSI cement CO2 protocol. Combusion CO2 related emissions are calculated from measured fuel, consumption data, using fuel-specific emission factor for coal, petcoke, and alternative fuels etc. Calculations follow the methodology prescribed in the CSI cement CO2 protocol</t>
  </si>
  <si>
    <t xml:space="preserve">1. Process (Calcination)
2. Combustion (fuel)
3. Electricity </t>
  </si>
  <si>
    <t>1. 1431642
2. 751297
3. 62222</t>
  </si>
  <si>
    <t>The company discloses emission
 dates to CDP as part of our annual sustainability reporting CVCTC. Supporting global climate transparency and stakeholder communication</t>
  </si>
  <si>
    <t>1) IIT Bombay and Ecotech,
 Sweden under an Indo-Swedish Grant for a Pre-Pilot CCU feasibility study. 2) Partnered with Coolbrook to implement the world's first commercial deployment of the RDH</t>
  </si>
  <si>
    <t>The EPDs were completed in 2025,
 covering both cement and ready-mix concrete product categories, the scope includes PPC &amp; Ready mix concrete grades. The EPD for OPC is currently under process and will be published soon</t>
  </si>
  <si>
    <t>50Kg Bags</t>
  </si>
  <si>
    <t>41a7c18d-c40a-46e1-9ff7-da16019181fc</t>
  </si>
  <si>
    <t>uuid:41a7c18d-c40a-46e1-9ff7-da16019181fc</t>
  </si>
  <si>
    <t>Birla Corporation Limited</t>
  </si>
  <si>
    <t>Ashwani Karwariya</t>
  </si>
  <si>
    <t>Regional Cluster Head (Central)
 Environment &amp; Sustainability</t>
  </si>
  <si>
    <t>ashwani.karwariya@birlacorp.com</t>
  </si>
  <si>
    <t xml:space="preserve">I. SCW Plant Line No. 1- dry-process kiln line with 5-stage preheater and pre
calciner - 4500 TPD 
II. BVC Plant Line No. 2- dry-process kiln line with 5-stage preheater and pre-calciner - 
5100 TPD </t>
  </si>
  <si>
    <t>1. Coal
2. Pet Coke
3. Agro Waste (Rice Husk)
4. Waste Wood
5. Polythene Waste
6. FMCG 
7. Bio-Waste 
8. Plastic waste Paper Mill Unshredded
9. Waste Mix Solid  
10. Mustard Husk
11. RDF 
12. Saree Waste
13. Shredded Non-Hazardous Paper Waste
14. Wood Chips</t>
  </si>
  <si>
    <t>1. 332248
2. 72140
3. 2698
4. 7
5. 1553
6. 401
7. 144
8. 22
9. 5529
10. 11023
11. 6653
12. 297
13. 87
14. 200</t>
  </si>
  <si>
    <t xml:space="preserve">1. Chhatishgarh  Power, Sangeeta, 
Churcha PHIL 
2. IOCL, Nayra,  Bina Refinary
3. Shailendra, Daniyal, Parihar 
trading 
4. Rajasthan road lines 
5. M/s Mishra Traders Satna 
(MP) 
6. Cleanytic
7. UCL
8. Vindhya Boards Pvt. Ltd. 50031966
9.  GIPIL-Haryana, West Bengal Haldia, RSPL
Gujrat, Pithampur  Ramkey, Shikandrabad  (UP), Anas Gujrat
10. Parihar Trading, AK Traders, 
Shanker Musterd etc.
11. SM Enterprises Gujrat, Bhumi 
Green Energy  (U.P.), Susajja JV, Ananad LLP Indore (MP), SRS Logistics Katni (M.P.) etc. 
12. D-Allied
13. Ecogateway Pvt Ltd.  50028033 
14. Singh Brothers </t>
  </si>
  <si>
    <t>1. India/Imported
2. India/Imported
3. Indian
4.  Indian
5.  Indian
6.  Indian
7.  Indian
8.  Indian
9.  Indian
10.  Indian
11.  Indian
12.  Indian
13.  Indian
14.  Indian</t>
  </si>
  <si>
    <t>1. 4762.2
2. 8077.3
3. 3073.14
4. 3274
5. 2721.18
6. 4153
7. 3167
8. 5060
9. 2900
10. 3262.75
11. 2549.83
12. 4712
13. 4265
14. 3490</t>
  </si>
  <si>
    <t>1. Agro Waste (Rice Husk)
2. Waste Wood
3. Polythene Waste
4. FMCG
5. Bio-waste
6. Plastic waste Paper Mill Un-shredded
7. Waste Mix Solid (HW)
8. Mustard Husk
9. RDF (Refused Drive Fuel)
10. Saree waste
11. Shredded non-hazardous paper waste
12. Wood chips</t>
  </si>
  <si>
    <t>1. 2698
2. 7
3. 1553
4. 401
5. 144
6. 22
7. 5529
8. 11023
9. 6653
10. 297
11. 87
12. 200</t>
  </si>
  <si>
    <t>1000-1250</t>
  </si>
  <si>
    <t>Total - 
357400.7</t>
  </si>
  <si>
    <t>1. CPP
2. WHRS</t>
  </si>
  <si>
    <t>1. 27
2. 15</t>
  </si>
  <si>
    <t>1. Clinker
2. Gypsum
3. Fly ash</t>
  </si>
  <si>
    <t>1. 62%
2. 3%
3. 35%</t>
  </si>
  <si>
    <t>Limestone: 4169851
Iron Ore: 6561
Others:
1. Laterite - 95659
2. Bauxite - 2542
3. Lo silica - 43458
4. Gypsum - 85469
5. Fly ash - 892370
6. LCA (Lime stone in Cement Production) - 4400</t>
  </si>
  <si>
    <t>Limestone: 4273317
Iron Ore: 30368
Others:
1. Laterite - 127102
2. Bauxite - 18976
3. Lo silica - 16909
4. Gypsum - 82194
5. Fly ash - 839949
6. LCA (Lime stone in Cement Production) - 12573</t>
  </si>
  <si>
    <t>Limestone: 4390648
Iron Ore: 9597
Others:
1. Laterite - 139971
2. Bauxite - 27511
3. Lo silica - -
4. Gypsum - 71156
5. Fly ash - 741779
6. LCA (Lime stone in Cement Production) - 17240</t>
  </si>
  <si>
    <t>Raw material pre-blending and homogenization are achieved through a dedicated conveyor 
belt system transporting limestone and corrective materials from the mines to the stacker
reclaimer system. The materials are stacked in longitudinal chevron layers under controlled 
operating parameters to ensure uniform distribution and blending. Reclaiming is carried out using a bridge/portal reclaimer, which enables cross-sectional material extraction, resulting 
in effective homogenization of the raw mix. This pre-blending process significantly reduces 
chemical variability, ensures consistent Lime Saturation Factor (LSF), Silica Modulus 
(SM) and Alumina Modulus (AM) of the kiln feed enhances kiln operational stability, 
improves clinker quality and increases overall process efficiency.</t>
  </si>
  <si>
    <t xml:space="preserve">  ISO 50001:2018 </t>
  </si>
  <si>
    <t>Steam Turbine (2 Lines)</t>
  </si>
  <si>
    <t>DCS - Siemens PCS 7 Version 9.1</t>
  </si>
  <si>
    <t>1. Fuel (Scope 1)
2. Electricity (Scope 2)</t>
  </si>
  <si>
    <t>1. 2814719.44
2. 98665.13</t>
  </si>
  <si>
    <t>Biomass Substitution: - 
 Permission has been obtained from the MPPCB to utilize Alternative Fuels and Raw materials (AFR) including solid waste such as plastic waste, Refuse-Derived Fuel 
(RDF), rice husk and saw dust as AFR in the cement kiln system to enhance the 
Thermal Substitution Rate (TSR). 
 The co-processing of AFR has resulted in a substantial reduction in the consumption 
of conventional fossil fuels such as coal and petroleum coke, leading to a measurable 
reduction in Scope-1 greenhouse gas (GHG) emissions. Fuel substitution with AFR 
forms an integral part of the organization’s decarbonization roadmap and is 
implemented in alignment with the GHG Protocol guidelines on fuel switching and 
emissions accounting.</t>
  </si>
  <si>
    <t xml:space="preserve">Clinker is dispatched in loose (bulk) form through both rail wagons and road transport 
(trucks). Cement is dispatched predominantly in bulk form through bulkers, while bagged 
cement is dispatched through rail and road modes in 50-kg PP bags. </t>
  </si>
  <si>
    <t xml:space="preserve">1. WHRS
2. Solar Power Plant
3. AFR Handling System
4. EV Loader &amp; Charging Station
5. EV dumpers </t>
  </si>
  <si>
    <t>1. 122.61
2. 48.02
3. 18.35
4. 1.42
5. 19.12</t>
  </si>
  <si>
    <t>Yearly</t>
  </si>
  <si>
    <t xml:space="preserve">1. Inconsistent Calorific Value and 
Composition 
2. High Moisture and Contaminant Content 
3. High Foul Smell 
4. Limited Segregation and Pre-processing 
Infrastructure 
5. Non-availability of segregated material </t>
  </si>
  <si>
    <t xml:space="preserve">Exploring 
availability of 
good-quality AFR 
sources in nearby 
regions to ensure 
consistent supply 
and improved 
TSR. </t>
  </si>
  <si>
    <t xml:space="preserve">1. Established AFR Feeding Infrastructure 
2. Operational Experience and Skilled Manpower 
3. Strong Management Commitment to increase TSR 
4. Process Stability and Control System </t>
  </si>
  <si>
    <t>2f47b307-e02e-4f16-b91e-0a8b01adfec0</t>
  </si>
  <si>
    <t>uuid:2f47b307-e02e-4f16-b91e-0a8b01adfec0</t>
  </si>
  <si>
    <t>DECARBONISATION PATHWAYS IN CEMENT SECTOR OF MADHYA PRADESH</t>
  </si>
  <si>
    <t>Qualitative Analysis</t>
  </si>
  <si>
    <t>Q. 8&amp;9</t>
  </si>
  <si>
    <t>Q. 14</t>
  </si>
  <si>
    <t>Top 5 Enablers to Decarbonisation</t>
  </si>
  <si>
    <t xml:space="preserve"> Waste Heat Recovery Systems (WHRS)</t>
  </si>
  <si>
    <t>Alternative Fuels &amp; Raw Materials (AFR)
 / Co-processing</t>
  </si>
  <si>
    <t>Strong Management / Leadership Commitment</t>
  </si>
  <si>
    <t>Strong Financial Position / Group Support</t>
  </si>
  <si>
    <t xml:space="preserve"> Energy Efficiency &amp; Process Optimization</t>
  </si>
  <si>
    <t>Top 5 Barriers</t>
  </si>
  <si>
    <t>High Capital Cost / Investment Constraints</t>
  </si>
  <si>
    <t>AFR Supply, Quality &amp; Availability Issues</t>
  </si>
  <si>
    <t>Process Emissions from Limestone Calcination</t>
  </si>
  <si>
    <t>High Cost &amp; Complexity of Carbon Capture (CCUS)</t>
  </si>
  <si>
    <t xml:space="preserve"> Regulatory, Market &amp; Demand Uncertainty</t>
  </si>
  <si>
    <t xml:space="preserve">Most commonly Used Primary &amp; Secondary Fuels </t>
  </si>
  <si>
    <t>Primary</t>
  </si>
  <si>
    <t>1. Coal (Domestic / Indigenous / Imported)</t>
  </si>
  <si>
    <t>2. Pet Coke (Domestic / Imported)</t>
  </si>
  <si>
    <t>Q. 26</t>
  </si>
  <si>
    <t>Q. 28</t>
  </si>
  <si>
    <t>Secondary</t>
  </si>
  <si>
    <t xml:space="preserve">1. Biomass </t>
  </si>
  <si>
    <t>2. RDF (Refuse-Derived Fuel)</t>
  </si>
  <si>
    <t>3. Plastic Waste</t>
  </si>
  <si>
    <t>4. Solid Hazardous Waste (Solid HW)</t>
  </si>
  <si>
    <t>5. Liquid Hazardous Waste (Liquid HW)</t>
  </si>
  <si>
    <t>Q. 31</t>
  </si>
  <si>
    <t>Q. 33</t>
  </si>
  <si>
    <t>Q. 38</t>
  </si>
  <si>
    <t>Q. 54</t>
  </si>
  <si>
    <t>Q. 63</t>
  </si>
  <si>
    <t>Q. 73</t>
  </si>
  <si>
    <t>Firm</t>
  </si>
  <si>
    <t xml:space="preserve">Installed clinker production (Tonnes/Yr) capacity </t>
  </si>
  <si>
    <t>9. Typical annual clinker production
 of 2022-23</t>
  </si>
  <si>
    <t>Typical annual clinker production
 of 2023-24</t>
  </si>
  <si>
    <t>Typical annual clinker production
 of 2024-25</t>
  </si>
  <si>
    <t>Average Annual Clinker Production (last 3 years)</t>
  </si>
  <si>
    <t>SC</t>
  </si>
  <si>
    <t>UT - V</t>
  </si>
  <si>
    <t>UT - S</t>
  </si>
  <si>
    <t>JK</t>
  </si>
  <si>
    <t>PJL I</t>
  </si>
  <si>
    <t>PJL II</t>
  </si>
  <si>
    <t>UT - B</t>
  </si>
  <si>
    <t>UT - M</t>
  </si>
  <si>
    <t>UT - D</t>
  </si>
  <si>
    <t>DC</t>
  </si>
  <si>
    <t>ACC</t>
  </si>
  <si>
    <t>BCL</t>
  </si>
  <si>
    <t>Plant name</t>
  </si>
  <si>
    <t>Do you have Renewable 
energy procurement (PPA, RECs) or on-site PV/wind)</t>
  </si>
  <si>
    <t xml:space="preserve"> Do you offer low-carbon 
cement products (e.g., blended cements, EPD-backed, low- clinker cement)? </t>
  </si>
  <si>
    <t>c</t>
  </si>
  <si>
    <t>Column1</t>
  </si>
  <si>
    <t>Diamond Cements</t>
  </si>
  <si>
    <t>Clinker Factor (%)</t>
  </si>
  <si>
    <t>Yes / No</t>
  </si>
  <si>
    <t>Plant No.</t>
  </si>
  <si>
    <t>Q72. Top 5 Enablers</t>
  </si>
  <si>
    <t>Q71. Top 5 Barriers</t>
  </si>
  <si>
    <t xml:space="preserve">Q13 - Commonly
used primary &amp; secondary fuels </t>
  </si>
  <si>
    <r>
      <t>1. Coal</t>
    </r>
    <r>
      <rPr>
        <sz val="11"/>
        <color theme="1"/>
        <rFont val="Calibri"/>
        <family val="2"/>
        <scheme val="minor"/>
      </rPr>
      <t xml:space="preserve"> (Domestic / Indigenous / Imported)</t>
    </r>
  </si>
  <si>
    <r>
      <t>2. Pet Coke</t>
    </r>
    <r>
      <rPr>
        <sz val="11"/>
        <color theme="1"/>
        <rFont val="Calibri"/>
        <family val="2"/>
        <scheme val="minor"/>
      </rPr>
      <t xml:space="preserve"> (Domestic / Imported)</t>
    </r>
  </si>
  <si>
    <r>
      <t>1. Biomass</t>
    </r>
    <r>
      <rPr>
        <sz val="11"/>
        <color theme="1"/>
        <rFont val="Calibri"/>
        <family val="2"/>
        <scheme val="minor"/>
      </rPr>
      <t xml:space="preserve"> </t>
    </r>
  </si>
  <si>
    <t>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</si>
</sst>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Calibri"/>
      <family val="2"/>
    </font>
    <font>
      <sz val="12"/>
      <color theme="1"/>
      <name val="Aptos"/>
      <family val="2"/>
    </font>
    <font>
      <sz val="12"/>
      <color rgb="FF000000"/>
      <name val="Calibri"/>
      <family val="2"/>
      <scheme val="minor"/>
    </font>
    <font>
      <b/>
      <sz val="12"/>
      <color theme="1"/>
      <name val="Calibri"/>
      <family val="2"/>
      <scheme val="minor"/>
    </font>
    <font>
      <sz val="9"/>
      <color indexed="81"/>
      <name val="Tahoma"/>
    </font>
    <font>
      <b/>
      <sz val="9"/>
      <color indexed="81"/>
      <name val="Tahoma"/>
    </font>
    <font>
      <sz val="9"/>
      <color indexed="81"/>
      <name val="Tahoma"/>
      <family val="2"/>
    </font>
    <font>
      <b/>
      <sz val="9"/>
      <color indexed="81"/>
      <name val="Tahoma"/>
      <family val="2"/>
    </font>
    <font>
      <u/>
      <sz val="11"/>
      <color theme="10"/>
      <name val="Calibri"/>
      <family val="2"/>
      <scheme val="minor"/>
    </font>
    <font>
      <sz val="11"/>
      <color theme="1"/>
      <name val="Times New Roman"/>
      <family val="1"/>
    </font>
    <font>
      <sz val="10"/>
      <color theme="1"/>
      <name val="Calibri"/>
      <family val="2"/>
      <scheme val="minor"/>
    </font>
    <font>
      <b/>
      <sz val="9"/>
      <color theme="1"/>
      <name val="Calibri"/>
      <family val="2"/>
      <scheme val="minor"/>
    </font>
    <font>
      <sz val="9"/>
      <color theme="1"/>
      <name val="Calibri"/>
      <family val="2"/>
      <scheme val="minor"/>
    </font>
    <font>
      <b/>
      <sz val="11"/>
      <color theme="0"/>
      <name val="Calibri"/>
      <family val="2"/>
      <scheme val="minor"/>
    </font>
    <font>
      <b/>
      <sz val="9"/>
      <color theme="0"/>
      <name val="Calibri"/>
      <family val="2"/>
      <scheme val="minor"/>
    </font>
    <font>
      <sz val="8"/>
      <name val="Calibri"/>
      <family val="2"/>
      <scheme val="minor"/>
    </font>
    <font>
      <b/>
      <sz val="14"/>
      <color theme="1"/>
      <name val="Calibri"/>
      <family val="2"/>
      <scheme val="minor"/>
    </font>
    <font>
      <sz val="12"/>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s>
  <borders count="23">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style="medium">
        <color indexed="64"/>
      </bottom>
      <diagonal/>
    </border>
    <border>
      <left style="thin">
        <color theme="0"/>
      </left>
      <right/>
      <top style="medium">
        <color indexed="64"/>
      </top>
      <bottom style="thick">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ck">
        <color theme="0"/>
      </bottom>
      <diagonal/>
    </border>
    <border>
      <left/>
      <right style="thin">
        <color theme="0"/>
      </right>
      <top/>
      <bottom/>
      <diagonal/>
    </border>
    <border>
      <left style="thin">
        <color theme="0"/>
      </left>
      <right/>
      <top style="thin">
        <color theme="0"/>
      </top>
      <bottom style="thin">
        <color theme="0"/>
      </bottom>
      <diagonal/>
    </border>
    <border>
      <left/>
      <right style="thin">
        <color theme="0"/>
      </right>
      <top style="medium">
        <color indexed="64"/>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medium">
        <color indexed="64"/>
      </top>
      <bottom style="thick">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0" fontId="11" fillId="0" borderId="0" applyNumberFormat="0" applyFill="0" applyBorder="0" applyAlignment="0" applyProtection="0"/>
  </cellStyleXfs>
  <cellXfs count="125">
    <xf numFmtId="0" fontId="0" fillId="0" borderId="0" xfId="0"/>
    <xf numFmtId="0" fontId="3" fillId="0" borderId="0" xfId="0" applyFont="1"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horizontal="center" vertical="center" wrapText="1"/>
    </xf>
    <xf numFmtId="0" fontId="1" fillId="0" borderId="0" xfId="0" applyFont="1" applyAlignment="1">
      <alignment vertical="center" wrapText="1"/>
    </xf>
    <xf numFmtId="0" fontId="0" fillId="2" borderId="0" xfId="0" applyFill="1" applyAlignment="1">
      <alignment vertical="center"/>
    </xf>
    <xf numFmtId="0" fontId="1" fillId="0" borderId="7" xfId="0" applyFont="1" applyBorder="1" applyAlignment="1">
      <alignment vertical="center" wrapText="1"/>
    </xf>
    <xf numFmtId="0" fontId="1" fillId="5" borderId="7" xfId="0" applyFont="1" applyFill="1" applyBorder="1" applyAlignment="1">
      <alignment vertical="center" wrapText="1"/>
    </xf>
    <xf numFmtId="0" fontId="1" fillId="0" borderId="2" xfId="0" applyFont="1" applyBorder="1" applyAlignment="1">
      <alignment vertical="center" wrapText="1"/>
    </xf>
    <xf numFmtId="0" fontId="1" fillId="0" borderId="6" xfId="0" applyFont="1" applyBorder="1" applyAlignment="1">
      <alignment vertical="center" wrapText="1"/>
    </xf>
    <xf numFmtId="0" fontId="6" fillId="0" borderId="0" xfId="0" applyFont="1" applyAlignment="1">
      <alignment vertical="center" wrapText="1"/>
    </xf>
    <xf numFmtId="10" fontId="0" fillId="0" borderId="0" xfId="0" applyNumberFormat="1" applyAlignment="1">
      <alignment vertical="center" wrapText="1"/>
    </xf>
    <xf numFmtId="0" fontId="1"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applyAlignment="1">
      <alignment vertical="center"/>
    </xf>
    <xf numFmtId="0" fontId="14" fillId="0" borderId="8" xfId="0" applyFont="1" applyBorder="1" applyAlignment="1">
      <alignment vertical="center" wrapText="1"/>
    </xf>
    <xf numFmtId="0" fontId="14" fillId="0" borderId="6" xfId="0" applyFont="1" applyBorder="1" applyAlignment="1">
      <alignment vertical="center" wrapText="1"/>
    </xf>
    <xf numFmtId="0" fontId="14" fillId="5" borderId="0" xfId="0" applyFont="1" applyFill="1" applyAlignment="1">
      <alignment vertical="center" wrapText="1"/>
    </xf>
    <xf numFmtId="0" fontId="17" fillId="5" borderId="9" xfId="0" applyFont="1" applyFill="1" applyBorder="1" applyAlignment="1">
      <alignment vertical="center" wrapText="1"/>
    </xf>
    <xf numFmtId="0" fontId="14" fillId="5" borderId="7" xfId="0" applyFont="1" applyFill="1" applyBorder="1" applyAlignment="1">
      <alignment vertical="center" wrapText="1"/>
    </xf>
    <xf numFmtId="9" fontId="0" fillId="0" borderId="0" xfId="0" applyNumberFormat="1" applyAlignment="1">
      <alignment vertical="center" wrapText="1"/>
    </xf>
    <xf numFmtId="0" fontId="16" fillId="7" borderId="12" xfId="0" applyFont="1" applyFill="1" applyBorder="1" applyAlignment="1">
      <alignment horizontal="center" vertical="center" wrapText="1"/>
    </xf>
    <xf numFmtId="0" fontId="0" fillId="8" borderId="10" xfId="0" applyFill="1" applyBorder="1" applyAlignment="1">
      <alignment vertical="center" wrapText="1"/>
    </xf>
    <xf numFmtId="0" fontId="0" fillId="9" borderId="10" xfId="0" applyFill="1" applyBorder="1" applyAlignment="1">
      <alignment vertical="center" wrapText="1"/>
    </xf>
    <xf numFmtId="0" fontId="0" fillId="8" borderId="11" xfId="0" applyFill="1" applyBorder="1" applyAlignment="1">
      <alignment vertical="center" wrapText="1"/>
    </xf>
    <xf numFmtId="0" fontId="0" fillId="9" borderId="13" xfId="0" applyFill="1" applyBorder="1" applyAlignment="1">
      <alignment vertical="center" wrapText="1"/>
    </xf>
    <xf numFmtId="0" fontId="1" fillId="0" borderId="7" xfId="0" applyFont="1" applyBorder="1" applyAlignment="1">
      <alignment wrapText="1"/>
    </xf>
    <xf numFmtId="0" fontId="0" fillId="0" borderId="0" xfId="0" applyAlignment="1">
      <alignment wrapText="1"/>
    </xf>
    <xf numFmtId="0" fontId="14" fillId="10" borderId="0" xfId="0" applyFont="1" applyFill="1"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vertical="top"/>
    </xf>
    <xf numFmtId="0" fontId="0" fillId="0" borderId="0" xfId="0" applyAlignment="1">
      <alignment horizontal="left"/>
    </xf>
    <xf numFmtId="0" fontId="0" fillId="0" borderId="0" xfId="0" applyAlignment="1">
      <alignment horizontal="left" vertical="top"/>
    </xf>
    <xf numFmtId="0" fontId="1" fillId="0" borderId="0" xfId="0" applyFont="1" applyAlignment="1">
      <alignment horizontal="left" vertical="center" indent="1"/>
    </xf>
    <xf numFmtId="0" fontId="0" fillId="0" borderId="13" xfId="0" applyBorder="1" applyAlignment="1">
      <alignment vertical="center" wrapText="1"/>
    </xf>
    <xf numFmtId="0" fontId="1" fillId="11" borderId="0" xfId="0" applyFont="1" applyFill="1"/>
    <xf numFmtId="0" fontId="1" fillId="11" borderId="0" xfId="0" applyFont="1" applyFill="1" applyAlignment="1">
      <alignment wrapText="1"/>
    </xf>
    <xf numFmtId="0" fontId="0" fillId="0" borderId="0" xfId="0" applyAlignment="1">
      <alignment horizontal="left" vertical="center" wrapText="1" indent="1"/>
    </xf>
    <xf numFmtId="0" fontId="0" fillId="8" borderId="14" xfId="0" applyFill="1" applyBorder="1" applyAlignment="1">
      <alignment vertical="center"/>
    </xf>
    <xf numFmtId="0" fontId="0" fillId="9" borderId="14" xfId="0" applyFill="1" applyBorder="1" applyAlignment="1">
      <alignment vertical="center"/>
    </xf>
    <xf numFmtId="0" fontId="16" fillId="0" borderId="15" xfId="0" applyFont="1" applyBorder="1" applyAlignment="1">
      <alignment vertical="center" wrapText="1"/>
    </xf>
    <xf numFmtId="0" fontId="16" fillId="0" borderId="17" xfId="0" applyFont="1" applyBorder="1" applyAlignment="1">
      <alignment horizontal="center" vertical="center" wrapText="1"/>
    </xf>
    <xf numFmtId="0" fontId="16" fillId="0" borderId="9" xfId="0" applyFont="1" applyBorder="1" applyAlignment="1">
      <alignment vertical="center"/>
    </xf>
    <xf numFmtId="0" fontId="0" fillId="0" borderId="10" xfId="0" applyBorder="1" applyAlignment="1">
      <alignment vertical="center"/>
    </xf>
    <xf numFmtId="0" fontId="0" fillId="0" borderId="16" xfId="0" applyBorder="1" applyAlignment="1">
      <alignment vertical="center"/>
    </xf>
    <xf numFmtId="0" fontId="0" fillId="0" borderId="14" xfId="0" applyBorder="1" applyAlignment="1">
      <alignment vertical="center"/>
    </xf>
    <xf numFmtId="0" fontId="3" fillId="0" borderId="16" xfId="0" applyFont="1" applyBorder="1" applyAlignment="1">
      <alignment horizontal="left" vertical="center"/>
    </xf>
    <xf numFmtId="0" fontId="0" fillId="12" borderId="0" xfId="0" applyFill="1"/>
    <xf numFmtId="0" fontId="0" fillId="12" borderId="18" xfId="0" applyFill="1" applyBorder="1"/>
    <xf numFmtId="0" fontId="0" fillId="12" borderId="7" xfId="0" applyFill="1" applyBorder="1"/>
    <xf numFmtId="0" fontId="0" fillId="12" borderId="19" xfId="0" applyFill="1" applyBorder="1"/>
    <xf numFmtId="0" fontId="0" fillId="12" borderId="20" xfId="0" applyFill="1" applyBorder="1"/>
    <xf numFmtId="0" fontId="0" fillId="12" borderId="21" xfId="0" applyFill="1" applyBorder="1"/>
    <xf numFmtId="0" fontId="0" fillId="12" borderId="8" xfId="0" applyFill="1" applyBorder="1"/>
    <xf numFmtId="0" fontId="0" fillId="12" borderId="6" xfId="0" applyFill="1" applyBorder="1"/>
    <xf numFmtId="0" fontId="0" fillId="12" borderId="22" xfId="0" applyFill="1" applyBorder="1"/>
    <xf numFmtId="0" fontId="6" fillId="14" borderId="18" xfId="0" applyFont="1" applyFill="1" applyBorder="1" applyAlignment="1">
      <alignment horizontal="center" vertical="center" wrapText="1"/>
    </xf>
    <xf numFmtId="0" fontId="0" fillId="14" borderId="19" xfId="0" applyFill="1" applyBorder="1" applyAlignment="1">
      <alignment wrapText="1"/>
    </xf>
    <xf numFmtId="0" fontId="1" fillId="14" borderId="20" xfId="0" applyFont="1" applyFill="1" applyBorder="1" applyAlignment="1">
      <alignment wrapText="1"/>
    </xf>
    <xf numFmtId="0" fontId="0" fillId="14" borderId="21" xfId="0" applyFill="1" applyBorder="1" applyAlignment="1">
      <alignment wrapText="1"/>
    </xf>
    <xf numFmtId="0" fontId="1" fillId="0" borderId="20" xfId="0" applyFont="1" applyBorder="1" applyAlignment="1">
      <alignment wrapText="1"/>
    </xf>
    <xf numFmtId="0" fontId="0" fillId="0" borderId="21" xfId="0" applyBorder="1" applyAlignment="1">
      <alignment wrapText="1"/>
    </xf>
    <xf numFmtId="0" fontId="1" fillId="12" borderId="20" xfId="0" applyFont="1" applyFill="1" applyBorder="1" applyAlignment="1">
      <alignment wrapText="1"/>
    </xf>
    <xf numFmtId="0" fontId="0" fillId="12" borderId="21" xfId="0" applyFill="1" applyBorder="1" applyAlignment="1">
      <alignment wrapText="1"/>
    </xf>
    <xf numFmtId="0" fontId="0" fillId="0" borderId="20" xfId="0" applyBorder="1" applyAlignment="1">
      <alignment horizontal="right" wrapText="1"/>
    </xf>
    <xf numFmtId="0" fontId="0" fillId="0" borderId="21" xfId="0" applyBorder="1" applyAlignment="1">
      <alignment horizontal="left" vertical="center" wrapText="1"/>
    </xf>
    <xf numFmtId="0" fontId="0" fillId="0" borderId="20" xfId="0" applyBorder="1" applyAlignment="1">
      <alignment horizontal="right" vertical="top" wrapText="1"/>
    </xf>
    <xf numFmtId="0" fontId="0" fillId="0" borderId="20" xfId="0" applyBorder="1" applyAlignment="1">
      <alignment vertical="top" wrapText="1"/>
    </xf>
    <xf numFmtId="0" fontId="0" fillId="0" borderId="20" xfId="0" applyBorder="1" applyAlignment="1">
      <alignment wrapText="1"/>
    </xf>
    <xf numFmtId="0" fontId="0" fillId="0" borderId="20" xfId="0" applyBorder="1"/>
    <xf numFmtId="0" fontId="1" fillId="13" borderId="21" xfId="0" applyFont="1" applyFill="1" applyBorder="1" applyAlignment="1">
      <alignment horizontal="left" vertical="center"/>
    </xf>
    <xf numFmtId="0" fontId="0" fillId="0" borderId="21" xfId="0" applyBorder="1" applyAlignment="1">
      <alignment horizontal="left" vertical="center"/>
    </xf>
    <xf numFmtId="0" fontId="0" fillId="0" borderId="21" xfId="0" applyBorder="1"/>
    <xf numFmtId="0" fontId="1" fillId="13" borderId="21" xfId="0" applyFont="1" applyFill="1" applyBorder="1"/>
    <xf numFmtId="0" fontId="0" fillId="0" borderId="8" xfId="0" applyBorder="1" applyAlignment="1">
      <alignment wrapText="1"/>
    </xf>
    <xf numFmtId="0" fontId="0" fillId="0" borderId="22" xfId="0" applyBorder="1"/>
    <xf numFmtId="0" fontId="19" fillId="0" borderId="4" xfId="0" applyFont="1" applyBorder="1"/>
    <xf numFmtId="0" fontId="0" fillId="0" borderId="4" xfId="0" applyBorder="1"/>
    <xf numFmtId="0" fontId="0" fillId="0" borderId="5" xfId="0" applyBorder="1"/>
    <xf numFmtId="0" fontId="19" fillId="0" borderId="3" xfId="0" applyFont="1" applyBorder="1" applyAlignment="1">
      <alignment vertical="center"/>
    </xf>
    <xf numFmtId="0" fontId="0" fillId="12" borderId="2" xfId="0" applyFill="1" applyBorder="1"/>
    <xf numFmtId="0" fontId="6" fillId="5" borderId="3" xfId="0" applyFont="1" applyFill="1" applyBorder="1" applyAlignment="1">
      <alignment vertical="center"/>
    </xf>
    <xf numFmtId="0" fontId="1" fillId="6" borderId="5" xfId="0" applyFont="1" applyFill="1" applyBorder="1" applyAlignment="1">
      <alignment vertical="center"/>
    </xf>
    <xf numFmtId="0" fontId="1" fillId="2" borderId="2" xfId="0" applyFont="1" applyFill="1" applyBorder="1" applyAlignment="1">
      <alignment vertical="center"/>
    </xf>
    <xf numFmtId="0" fontId="1" fillId="0" borderId="6" xfId="0" applyFont="1" applyBorder="1" applyAlignment="1">
      <alignment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3" xfId="0" applyFont="1" applyFill="1" applyBorder="1" applyAlignment="1">
      <alignment vertical="center"/>
    </xf>
    <xf numFmtId="0" fontId="1" fillId="4" borderId="4" xfId="0" applyFont="1" applyFill="1" applyBorder="1" applyAlignment="1">
      <alignment vertical="center"/>
    </xf>
    <xf numFmtId="0" fontId="1" fillId="4" borderId="5" xfId="0" applyFont="1" applyFill="1" applyBorder="1" applyAlignment="1">
      <alignment vertical="center"/>
    </xf>
    <xf numFmtId="0" fontId="0" fillId="0" borderId="6" xfId="0" applyBorder="1" applyAlignment="1">
      <alignment vertical="center"/>
    </xf>
    <xf numFmtId="164" fontId="0" fillId="0" borderId="6" xfId="0" applyNumberFormat="1" applyBorder="1" applyAlignment="1">
      <alignment vertical="center"/>
    </xf>
    <xf numFmtId="0" fontId="3" fillId="0" borderId="0" xfId="0" applyFont="1" applyAlignment="1">
      <alignment horizontal="left" vertical="top"/>
    </xf>
    <xf numFmtId="0" fontId="20" fillId="0" borderId="0" xfId="0" applyFont="1" applyAlignment="1">
      <alignment horizontal="left" vertical="top"/>
    </xf>
    <xf numFmtId="0" fontId="0" fillId="2" borderId="0" xfId="0" applyFill="1" applyAlignment="1">
      <alignment horizontal="left" vertical="top"/>
    </xf>
    <xf numFmtId="0" fontId="1" fillId="0" borderId="0" xfId="0" applyFont="1" applyAlignment="1">
      <alignment horizontal="left" vertical="top"/>
    </xf>
    <xf numFmtId="10" fontId="0" fillId="0" borderId="0" xfId="0" applyNumberFormat="1" applyAlignment="1">
      <alignment horizontal="left" vertical="top"/>
    </xf>
    <xf numFmtId="0" fontId="0" fillId="3" borderId="0" xfId="0" applyFill="1" applyAlignment="1">
      <alignment horizontal="left" vertical="top"/>
    </xf>
    <xf numFmtId="0" fontId="0" fillId="2" borderId="1" xfId="0" applyFill="1" applyBorder="1" applyAlignment="1">
      <alignment horizontal="left" vertical="top"/>
    </xf>
    <xf numFmtId="164" fontId="0" fillId="0" borderId="0" xfId="0" applyNumberFormat="1" applyAlignment="1">
      <alignment horizontal="left" vertical="top"/>
    </xf>
    <xf numFmtId="0" fontId="2" fillId="0" borderId="0" xfId="0" applyFont="1" applyAlignment="1">
      <alignment horizontal="left" vertical="top"/>
    </xf>
    <xf numFmtId="0" fontId="5" fillId="0" borderId="0" xfId="0" applyFont="1" applyAlignment="1">
      <alignment horizontal="left" vertical="top"/>
    </xf>
    <xf numFmtId="9" fontId="0" fillId="0" borderId="0" xfId="0" applyNumberFormat="1" applyAlignment="1">
      <alignment horizontal="left" vertical="top"/>
    </xf>
    <xf numFmtId="0" fontId="4" fillId="0" borderId="0" xfId="0" applyFont="1" applyAlignment="1">
      <alignment horizontal="left" vertical="top"/>
    </xf>
    <xf numFmtId="0" fontId="11" fillId="0" borderId="0" xfId="1" applyAlignment="1">
      <alignment horizontal="left" vertical="top"/>
    </xf>
    <xf numFmtId="0" fontId="13" fillId="0" borderId="0" xfId="0" applyFont="1" applyAlignment="1">
      <alignment horizontal="left" vertical="top"/>
    </xf>
    <xf numFmtId="0" fontId="1" fillId="2" borderId="0" xfId="0" applyFont="1" applyFill="1" applyAlignment="1">
      <alignment horizontal="left" vertical="top"/>
    </xf>
    <xf numFmtId="0" fontId="12" fillId="0" borderId="0" xfId="0" applyFont="1" applyAlignment="1">
      <alignment horizontal="left" vertical="top"/>
    </xf>
    <xf numFmtId="4" fontId="0" fillId="0" borderId="0" xfId="0" applyNumberFormat="1" applyAlignment="1">
      <alignment horizontal="left" vertical="top"/>
    </xf>
    <xf numFmtId="3" fontId="0" fillId="0" borderId="0" xfId="0" applyNumberFormat="1" applyAlignment="1">
      <alignment horizontal="left" vertical="top"/>
    </xf>
    <xf numFmtId="0" fontId="1" fillId="0" borderId="18" xfId="0" applyFont="1" applyBorder="1" applyAlignment="1">
      <alignment horizontal="left" vertical="center" wrapText="1"/>
    </xf>
    <xf numFmtId="0" fontId="6" fillId="0" borderId="7" xfId="0" applyFont="1" applyBorder="1" applyAlignment="1">
      <alignment horizontal="left" vertical="center" wrapText="1"/>
    </xf>
    <xf numFmtId="0" fontId="1" fillId="0" borderId="7" xfId="0" applyFont="1" applyBorder="1" applyAlignment="1">
      <alignment horizontal="left" vertical="center" wrapText="1"/>
    </xf>
    <xf numFmtId="0" fontId="1" fillId="5" borderId="7" xfId="0" applyFont="1" applyFill="1" applyBorder="1" applyAlignment="1">
      <alignment horizontal="left" vertical="center" wrapText="1"/>
    </xf>
    <xf numFmtId="0" fontId="0" fillId="0" borderId="7" xfId="0" applyBorder="1" applyAlignment="1">
      <alignment horizontal="left" vertical="center" wrapText="1"/>
    </xf>
    <xf numFmtId="0" fontId="0" fillId="2" borderId="7" xfId="0" applyFill="1" applyBorder="1" applyAlignment="1">
      <alignment horizontal="left" vertical="center" wrapText="1"/>
    </xf>
    <xf numFmtId="0" fontId="0" fillId="0" borderId="0" xfId="0" applyAlignment="1">
      <alignment horizontal="left" vertical="top" wrapText="1"/>
    </xf>
    <xf numFmtId="0" fontId="1" fillId="0" borderId="7" xfId="0" applyFont="1" applyBorder="1" applyAlignment="1">
      <alignment horizontal="left" vertical="center" wrapText="1"/>
    </xf>
    <xf numFmtId="0" fontId="1" fillId="3" borderId="7" xfId="0" applyFont="1" applyFill="1" applyBorder="1" applyAlignment="1">
      <alignment horizontal="left" vertical="center" wrapText="1"/>
    </xf>
  </cellXfs>
  <cellStyles count="2">
    <cellStyle name="Hyperlink" xfId="1" builtinId="8"/>
    <cellStyle name="Normal" xfId="0" builtinId="0"/>
  </cellStyles>
  <dxfs count="24">
    <dxf>
      <border outline="0">
        <top style="medium">
          <color indexed="64"/>
        </top>
      </border>
    </dxf>
    <dxf>
      <font>
        <b/>
        <i val="0"/>
        <strike val="0"/>
        <condense val="0"/>
        <extend val="0"/>
        <outline val="0"/>
        <shadow val="0"/>
        <u val="none"/>
        <vertAlign val="baseline"/>
        <sz val="9"/>
        <color theme="1"/>
        <name val="Calibri"/>
        <family val="2"/>
        <scheme val="minor"/>
      </font>
      <fill>
        <patternFill patternType="solid">
          <fgColor indexed="64"/>
          <bgColor theme="9" tint="0.79998168889431442"/>
        </patternFill>
      </fill>
      <alignment horizontal="general" vertical="center" textRotation="0" wrapText="1" indent="0" justifyLastLine="0" shrinkToFit="0" readingOrder="0"/>
    </dxf>
    <dxf>
      <border outline="0">
        <top style="medium">
          <color indexed="64"/>
        </top>
      </border>
    </dxf>
    <dxf>
      <font>
        <b/>
        <i val="0"/>
        <strike val="0"/>
        <condense val="0"/>
        <extend val="0"/>
        <outline val="0"/>
        <shadow val="0"/>
        <u val="none"/>
        <vertAlign val="baseline"/>
        <sz val="9"/>
        <color theme="1"/>
        <name val="Calibri"/>
        <family val="2"/>
        <scheme val="minor"/>
      </font>
      <fill>
        <patternFill patternType="solid">
          <fgColor indexed="64"/>
          <bgColor theme="9" tint="0.79998168889431442"/>
        </patternFill>
      </fill>
      <alignment horizontal="general"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center" vertical="center" textRotation="0" wrapText="1" indent="0" justifyLastLine="0" shrinkToFit="0" readingOrder="0"/>
    </dxf>
    <dxf>
      <numFmt numFmtId="14" formatCode="0.00%"/>
      <alignment horizontal="general" vertical="center" textRotation="0" wrapText="1" indent="0" justifyLastLine="0" shrinkToFit="0" readingOrder="0"/>
    </dxf>
    <dxf>
      <font>
        <b/>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outline="0">
        <top style="medium">
          <color indexed="64"/>
        </top>
      </border>
    </dxf>
    <dxf>
      <font>
        <b/>
        <i val="0"/>
        <strike val="0"/>
        <condense val="0"/>
        <extend val="0"/>
        <outline val="0"/>
        <shadow val="0"/>
        <u val="none"/>
        <vertAlign val="baseline"/>
        <sz val="9"/>
        <color theme="1"/>
        <name val="Calibri"/>
        <family val="2"/>
        <scheme val="minor"/>
      </font>
      <fill>
        <patternFill patternType="solid">
          <fgColor indexed="64"/>
          <bgColor theme="9" tint="0.79998168889431442"/>
        </patternFill>
      </fill>
      <alignment horizontal="general" vertical="center" textRotation="0" wrapText="1" indent="0" justifyLastLine="0" shrinkToFit="0" readingOrder="0"/>
    </dxf>
    <dxf>
      <font>
        <b/>
        <i val="0"/>
        <strike val="0"/>
        <condense val="0"/>
        <extend val="0"/>
        <outline val="0"/>
        <shadow val="0"/>
        <u val="none"/>
        <vertAlign val="baseline"/>
        <sz val="9"/>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9"/>
        <color theme="1"/>
        <name val="Calibri"/>
        <family val="2"/>
        <scheme val="minor"/>
      </font>
      <alignment horizontal="general" vertical="center" textRotation="0" wrapText="1" indent="0" justifyLastLine="0" shrinkToFit="0" readingOrder="0"/>
    </dxf>
    <dxf>
      <border outline="0">
        <top style="medium">
          <color indexed="64"/>
        </top>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1" indent="0" justifyLastLine="0" shrinkToFit="0" readingOrder="0"/>
    </dxf>
    <dxf>
      <border outline="0">
        <top style="medium">
          <color indexed="64"/>
        </top>
      </border>
    </dxf>
    <dxf>
      <alignment horizontal="general" vertical="center" textRotation="0" wrapText="0" indent="0" justifyLastLine="0" shrinkToFit="0" readingOrder="0"/>
    </dxf>
    <dxf>
      <alignment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IN" sz="1400"/>
              <a:t>Clinker Production Capacity vs Average Annual Clinker Produced (Past 3 Yrs) [N=12]</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Analysis!$C$1</c:f>
              <c:strCache>
                <c:ptCount val="1"/>
                <c:pt idx="0">
                  <c:v>Installed clinker production (Tonnes/Yr) capacity </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Analysis!$B$2:$B$13</c:f>
              <c:strCache>
                <c:ptCount val="12"/>
                <c:pt idx="0">
                  <c:v>SC</c:v>
                </c:pt>
                <c:pt idx="1">
                  <c:v>UT - V</c:v>
                </c:pt>
                <c:pt idx="2">
                  <c:v>UT - S</c:v>
                </c:pt>
                <c:pt idx="3">
                  <c:v>JK</c:v>
                </c:pt>
                <c:pt idx="4">
                  <c:v>PJL I</c:v>
                </c:pt>
                <c:pt idx="5">
                  <c:v>PJL II</c:v>
                </c:pt>
                <c:pt idx="6">
                  <c:v>UT - B</c:v>
                </c:pt>
                <c:pt idx="7">
                  <c:v>UT - M</c:v>
                </c:pt>
                <c:pt idx="8">
                  <c:v>UT - D</c:v>
                </c:pt>
                <c:pt idx="9">
                  <c:v>DC</c:v>
                </c:pt>
                <c:pt idx="10">
                  <c:v>ACC</c:v>
                </c:pt>
                <c:pt idx="11">
                  <c:v>BCL</c:v>
                </c:pt>
              </c:strCache>
            </c:strRef>
          </c:cat>
          <c:val>
            <c:numRef>
              <c:f>Analysis!$C$2:$C$13</c:f>
              <c:numCache>
                <c:formatCode>General</c:formatCode>
                <c:ptCount val="12"/>
                <c:pt idx="0">
                  <c:v>1100000</c:v>
                </c:pt>
                <c:pt idx="1">
                  <c:v>4000000</c:v>
                </c:pt>
                <c:pt idx="2">
                  <c:v>3000000</c:v>
                </c:pt>
                <c:pt idx="3">
                  <c:v>7920000</c:v>
                </c:pt>
                <c:pt idx="4">
                  <c:v>2500000</c:v>
                </c:pt>
                <c:pt idx="5">
                  <c:v>3000000</c:v>
                </c:pt>
                <c:pt idx="6">
                  <c:v>2380000</c:v>
                </c:pt>
                <c:pt idx="7">
                  <c:v>8000000</c:v>
                </c:pt>
                <c:pt idx="8">
                  <c:v>6000000</c:v>
                </c:pt>
                <c:pt idx="9">
                  <c:v>3100000</c:v>
                </c:pt>
                <c:pt idx="10">
                  <c:v>1815000</c:v>
                </c:pt>
                <c:pt idx="11">
                  <c:v>3400000</c:v>
                </c:pt>
              </c:numCache>
            </c:numRef>
          </c:val>
          <c:extLst>
            <c:ext xmlns:c16="http://schemas.microsoft.com/office/drawing/2014/chart" uri="{C3380CC4-5D6E-409C-BE32-E72D297353CC}">
              <c16:uniqueId val="{00000000-B747-41E6-BFB5-C5AB4DE7855E}"/>
            </c:ext>
          </c:extLst>
        </c:ser>
        <c:ser>
          <c:idx val="1"/>
          <c:order val="1"/>
          <c:tx>
            <c:strRef>
              <c:f>Analysis!$G$1</c:f>
              <c:strCache>
                <c:ptCount val="1"/>
                <c:pt idx="0">
                  <c:v>Average Annual Clinker Production (last 3 years)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Analysis!$B$2:$B$13</c:f>
              <c:strCache>
                <c:ptCount val="12"/>
                <c:pt idx="0">
                  <c:v>SC</c:v>
                </c:pt>
                <c:pt idx="1">
                  <c:v>UT - V</c:v>
                </c:pt>
                <c:pt idx="2">
                  <c:v>UT - S</c:v>
                </c:pt>
                <c:pt idx="3">
                  <c:v>JK</c:v>
                </c:pt>
                <c:pt idx="4">
                  <c:v>PJL I</c:v>
                </c:pt>
                <c:pt idx="5">
                  <c:v>PJL II</c:v>
                </c:pt>
                <c:pt idx="6">
                  <c:v>UT - B</c:v>
                </c:pt>
                <c:pt idx="7">
                  <c:v>UT - M</c:v>
                </c:pt>
                <c:pt idx="8">
                  <c:v>UT - D</c:v>
                </c:pt>
                <c:pt idx="9">
                  <c:v>DC</c:v>
                </c:pt>
                <c:pt idx="10">
                  <c:v>ACC</c:v>
                </c:pt>
                <c:pt idx="11">
                  <c:v>BCL</c:v>
                </c:pt>
              </c:strCache>
            </c:strRef>
          </c:cat>
          <c:val>
            <c:numRef>
              <c:f>Analysis!$G$2:$G$13</c:f>
              <c:numCache>
                <c:formatCode>General</c:formatCode>
                <c:ptCount val="12"/>
                <c:pt idx="0">
                  <c:v>741403.5</c:v>
                </c:pt>
                <c:pt idx="1">
                  <c:v>3041401.6666666665</c:v>
                </c:pt>
                <c:pt idx="2">
                  <c:v>2739450.3333333335</c:v>
                </c:pt>
                <c:pt idx="3">
                  <c:v>1869852</c:v>
                </c:pt>
                <c:pt idx="4">
                  <c:v>1948538</c:v>
                </c:pt>
                <c:pt idx="5">
                  <c:v>2458146</c:v>
                </c:pt>
                <c:pt idx="6">
                  <c:v>1834875.3333333333</c:v>
                </c:pt>
                <c:pt idx="7">
                  <c:v>2640287.6666666665</c:v>
                </c:pt>
                <c:pt idx="8">
                  <c:v>4256074.666666667</c:v>
                </c:pt>
                <c:pt idx="9">
                  <c:v>2803384</c:v>
                </c:pt>
                <c:pt idx="10">
                  <c:v>869955</c:v>
                </c:pt>
                <c:pt idx="11">
                  <c:v>2861663.3333333335</c:v>
                </c:pt>
              </c:numCache>
            </c:numRef>
          </c:val>
          <c:extLst>
            <c:ext xmlns:c16="http://schemas.microsoft.com/office/drawing/2014/chart" uri="{C3380CC4-5D6E-409C-BE32-E72D297353CC}">
              <c16:uniqueId val="{00000001-B747-41E6-BFB5-C5AB4DE7855E}"/>
            </c:ext>
          </c:extLst>
        </c:ser>
        <c:dLbls>
          <c:showLegendKey val="0"/>
          <c:showVal val="0"/>
          <c:showCatName val="0"/>
          <c:showSerName val="0"/>
          <c:showPercent val="0"/>
          <c:showBubbleSize val="0"/>
        </c:dLbls>
        <c:gapWidth val="164"/>
        <c:overlap val="-22"/>
        <c:axId val="197808047"/>
        <c:axId val="1500567775"/>
      </c:barChart>
      <c:catAx>
        <c:axId val="1978080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67775"/>
        <c:crosses val="autoZero"/>
        <c:auto val="1"/>
        <c:lblAlgn val="ctr"/>
        <c:lblOffset val="100"/>
        <c:noMultiLvlLbl val="0"/>
      </c:catAx>
      <c:valAx>
        <c:axId val="150056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80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 Average kiln thermal energy consumption (kcal/kg clinker) [N=11]</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Analysis!$C$71</c:f>
              <c:strCache>
                <c:ptCount val="1"/>
                <c:pt idx="0">
                  <c:v>
14. Average kiln thermal energy consumption (kcal/kg clinker)</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Analysis!$B$72:$B$82</c:f>
              <c:strCache>
                <c:ptCount val="11"/>
                <c:pt idx="0">
                  <c:v>SC</c:v>
                </c:pt>
                <c:pt idx="1">
                  <c:v>UT - V</c:v>
                </c:pt>
                <c:pt idx="2">
                  <c:v>UT - S</c:v>
                </c:pt>
                <c:pt idx="3">
                  <c:v>JK</c:v>
                </c:pt>
                <c:pt idx="4">
                  <c:v>PJL I</c:v>
                </c:pt>
                <c:pt idx="5">
                  <c:v>PJL II</c:v>
                </c:pt>
                <c:pt idx="6">
                  <c:v>UT - B</c:v>
                </c:pt>
                <c:pt idx="7">
                  <c:v>UT - M</c:v>
                </c:pt>
                <c:pt idx="8">
                  <c:v>UT - D</c:v>
                </c:pt>
                <c:pt idx="9">
                  <c:v>DC</c:v>
                </c:pt>
                <c:pt idx="10">
                  <c:v>BCL</c:v>
                </c:pt>
              </c:strCache>
            </c:strRef>
          </c:cat>
          <c:val>
            <c:numRef>
              <c:f>Analysis!$C$72:$C$82</c:f>
              <c:numCache>
                <c:formatCode>General</c:formatCode>
                <c:ptCount val="11"/>
                <c:pt idx="0">
                  <c:v>718</c:v>
                </c:pt>
                <c:pt idx="1">
                  <c:v>698</c:v>
                </c:pt>
                <c:pt idx="2">
                  <c:v>706.03</c:v>
                </c:pt>
                <c:pt idx="3">
                  <c:v>728</c:v>
                </c:pt>
                <c:pt idx="4">
                  <c:v>726</c:v>
                </c:pt>
                <c:pt idx="5">
                  <c:v>734</c:v>
                </c:pt>
                <c:pt idx="6">
                  <c:v>706.75</c:v>
                </c:pt>
                <c:pt idx="7">
                  <c:v>764.26</c:v>
                </c:pt>
                <c:pt idx="8">
                  <c:v>698.43</c:v>
                </c:pt>
                <c:pt idx="9">
                  <c:v>740</c:v>
                </c:pt>
                <c:pt idx="10">
                  <c:v>775.59</c:v>
                </c:pt>
              </c:numCache>
            </c:numRef>
          </c:val>
          <c:extLst>
            <c:ext xmlns:c16="http://schemas.microsoft.com/office/drawing/2014/chart" uri="{C3380CC4-5D6E-409C-BE32-E72D297353CC}">
              <c16:uniqueId val="{00000000-E841-49FD-AA41-71350723C6C9}"/>
            </c:ext>
          </c:extLst>
        </c:ser>
        <c:dLbls>
          <c:dLblPos val="ctr"/>
          <c:showLegendKey val="0"/>
          <c:showVal val="1"/>
          <c:showCatName val="0"/>
          <c:showSerName val="0"/>
          <c:showPercent val="0"/>
          <c:showBubbleSize val="0"/>
        </c:dLbls>
        <c:gapWidth val="150"/>
        <c:overlap val="100"/>
        <c:axId val="1453019695"/>
        <c:axId val="1453032655"/>
      </c:barChart>
      <c:catAx>
        <c:axId val="1453019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32655"/>
        <c:crosses val="autoZero"/>
        <c:auto val="1"/>
        <c:lblAlgn val="ctr"/>
        <c:lblOffset val="100"/>
        <c:noMultiLvlLbl val="0"/>
      </c:catAx>
      <c:valAx>
        <c:axId val="145303265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1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t>Availability</a:t>
            </a:r>
            <a:r>
              <a:rPr lang="en-US" sz="1000" baseline="0"/>
              <a:t> of </a:t>
            </a:r>
            <a:r>
              <a:rPr lang="en-US" sz="1000"/>
              <a:t>Renewable </a:t>
            </a:r>
          </a:p>
          <a:p>
            <a:pPr>
              <a:defRPr sz="1000"/>
            </a:pPr>
            <a:r>
              <a:rPr lang="en-US" sz="1000"/>
              <a:t>energy procurement (PPA, RECs) or on-site PV/wind? [n=12]</a:t>
            </a:r>
          </a:p>
        </c:rich>
      </c:tx>
      <c:layout>
        <c:manualLayout>
          <c:xMode val="edge"/>
          <c:yMode val="edge"/>
          <c:x val="0.15730629622041262"/>
          <c:y val="5.9523809523809521E-2"/>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Analysis!$G$18</c:f>
              <c:strCache>
                <c:ptCount val="1"/>
                <c:pt idx="0">
                  <c:v>c</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39-4BB9-B45C-F730E1A23C09}"/>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39-4BB9-B45C-F730E1A23C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Analysis!$F$19:$F$20</c:f>
              <c:strCache>
                <c:ptCount val="2"/>
                <c:pt idx="0">
                  <c:v>Yes </c:v>
                </c:pt>
                <c:pt idx="1">
                  <c:v>No</c:v>
                </c:pt>
              </c:strCache>
            </c:strRef>
          </c:cat>
          <c:val>
            <c:numRef>
              <c:f>Analysis!$G$19:$G$20</c:f>
              <c:numCache>
                <c:formatCode>General</c:formatCode>
                <c:ptCount val="2"/>
                <c:pt idx="0">
                  <c:v>11</c:v>
                </c:pt>
                <c:pt idx="1">
                  <c:v>1</c:v>
                </c:pt>
              </c:numCache>
            </c:numRef>
          </c:val>
          <c:extLst>
            <c:ext xmlns:c16="http://schemas.microsoft.com/office/drawing/2014/chart" uri="{C3380CC4-5D6E-409C-BE32-E72D297353CC}">
              <c16:uniqueId val="{00000004-B939-4BB9-B45C-F730E1A23C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Clinker Factor (%) [N=11]</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Analysis!$C$38</c:f>
              <c:strCache>
                <c:ptCount val="1"/>
                <c:pt idx="0">
                  <c:v>Clinker Factor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Analysis!$B$39:$B$49</c:f>
              <c:strCache>
                <c:ptCount val="11"/>
                <c:pt idx="0">
                  <c:v>SC</c:v>
                </c:pt>
                <c:pt idx="1">
                  <c:v>UT - V</c:v>
                </c:pt>
                <c:pt idx="2">
                  <c:v>UT - S</c:v>
                </c:pt>
                <c:pt idx="3">
                  <c:v>JK</c:v>
                </c:pt>
                <c:pt idx="4">
                  <c:v>PJL I</c:v>
                </c:pt>
                <c:pt idx="5">
                  <c:v>PJL II</c:v>
                </c:pt>
                <c:pt idx="6">
                  <c:v>UT - B</c:v>
                </c:pt>
                <c:pt idx="7">
                  <c:v>UT - M</c:v>
                </c:pt>
                <c:pt idx="8">
                  <c:v>UT - D</c:v>
                </c:pt>
                <c:pt idx="9">
                  <c:v>ACC</c:v>
                </c:pt>
                <c:pt idx="10">
                  <c:v>BCL</c:v>
                </c:pt>
              </c:strCache>
            </c:strRef>
          </c:cat>
          <c:val>
            <c:numRef>
              <c:f>Analysis!$C$39:$C$49</c:f>
              <c:numCache>
                <c:formatCode>0.00%</c:formatCode>
                <c:ptCount val="11"/>
                <c:pt idx="0">
                  <c:v>0.8</c:v>
                </c:pt>
                <c:pt idx="1">
                  <c:v>0.71040000000000003</c:v>
                </c:pt>
                <c:pt idx="2" formatCode="0%">
                  <c:v>0.63</c:v>
                </c:pt>
                <c:pt idx="3">
                  <c:v>0.69389999999999996</c:v>
                </c:pt>
                <c:pt idx="4">
                  <c:v>0.67889999999999995</c:v>
                </c:pt>
                <c:pt idx="5">
                  <c:v>0.67889999999999995</c:v>
                </c:pt>
                <c:pt idx="6">
                  <c:v>0.93759999999999999</c:v>
                </c:pt>
                <c:pt idx="7">
                  <c:v>0.76100000000000001</c:v>
                </c:pt>
                <c:pt idx="8">
                  <c:v>0.72119999999999995</c:v>
                </c:pt>
                <c:pt idx="9">
                  <c:v>0.61519999999999997</c:v>
                </c:pt>
                <c:pt idx="10">
                  <c:v>0.66439999999999999</c:v>
                </c:pt>
              </c:numCache>
            </c:numRef>
          </c:val>
          <c:extLst>
            <c:ext xmlns:c16="http://schemas.microsoft.com/office/drawing/2014/chart" uri="{C3380CC4-5D6E-409C-BE32-E72D297353CC}">
              <c16:uniqueId val="{00000000-EDCD-4B00-9F8B-4CF1E0D7D6E2}"/>
            </c:ext>
          </c:extLst>
        </c:ser>
        <c:dLbls>
          <c:dLblPos val="ctr"/>
          <c:showLegendKey val="0"/>
          <c:showVal val="1"/>
          <c:showCatName val="0"/>
          <c:showSerName val="0"/>
          <c:showPercent val="0"/>
          <c:showBubbleSize val="0"/>
        </c:dLbls>
        <c:gapWidth val="79"/>
        <c:overlap val="100"/>
        <c:axId val="1452916015"/>
        <c:axId val="1452916495"/>
      </c:barChart>
      <c:catAx>
        <c:axId val="145291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52916495"/>
        <c:crosses val="autoZero"/>
        <c:auto val="1"/>
        <c:lblAlgn val="ctr"/>
        <c:lblOffset val="100"/>
        <c:noMultiLvlLbl val="0"/>
      </c:catAx>
      <c:valAx>
        <c:axId val="1452916495"/>
        <c:scaling>
          <c:orientation val="minMax"/>
        </c:scaling>
        <c:delete val="1"/>
        <c:axPos val="l"/>
        <c:numFmt formatCode="0.00%" sourceLinked="1"/>
        <c:majorTickMark val="none"/>
        <c:minorTickMark val="none"/>
        <c:tickLblPos val="nextTo"/>
        <c:crossAx val="145291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N" sz="1200"/>
              <a:t>Do you use any alternative raw
 materials or industrial by-products as inputs? (n=11) </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Analysis!$F$125</c:f>
              <c:strCache>
                <c:ptCount val="1"/>
                <c:pt idx="0">
                  <c:v>31. Do you use any alternative 
raw
 materials or industrial by-products as inputs (e.g., fly ash, slag, waste gypsum, red mud)?</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708-4DF6-A642-FD51BD2CE68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708-4DF6-A642-FD51BD2CE6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Analysis!$E$126:$E$127</c:f>
              <c:strCache>
                <c:ptCount val="2"/>
                <c:pt idx="0">
                  <c:v>Yes</c:v>
                </c:pt>
                <c:pt idx="1">
                  <c:v>No</c:v>
                </c:pt>
              </c:strCache>
            </c:strRef>
          </c:cat>
          <c:val>
            <c:numRef>
              <c:f>Analysis!$F$126:$F$127</c:f>
              <c:numCache>
                <c:formatCode>General</c:formatCode>
                <c:ptCount val="2"/>
                <c:pt idx="0">
                  <c:v>10</c:v>
                </c:pt>
                <c:pt idx="1">
                  <c:v>1</c:v>
                </c:pt>
              </c:numCache>
            </c:numRef>
          </c:val>
          <c:extLst>
            <c:ext xmlns:c16="http://schemas.microsoft.com/office/drawing/2014/chart" uri="{C3380CC4-5D6E-409C-BE32-E72D297353CC}">
              <c16:uniqueId val="{00000004-F708-4DF6-A642-FD51BD2CE6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Do</a:t>
            </a:r>
            <a:r>
              <a:rPr lang="en-US" sz="1400" baseline="0"/>
              <a:t> you maintain a </a:t>
            </a:r>
            <a:r>
              <a:rPr lang="en-US" sz="1400"/>
              <a:t>documented 
energy management system (e.g., ISO 50001)? [n=11]</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Analysis!$F$55</c:f>
              <c:strCache>
                <c:ptCount val="1"/>
                <c:pt idx="0">
                  <c:v>33. Do you maintain a documented 
energy management system (e.g., ISO 50001)?</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838-41FF-9CCD-7116B5A39CCE}"/>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838-41FF-9CCD-7116B5A39C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Analysis!$E$56:$E$57</c:f>
              <c:strCache>
                <c:ptCount val="2"/>
                <c:pt idx="0">
                  <c:v>Yes </c:v>
                </c:pt>
                <c:pt idx="1">
                  <c:v>No</c:v>
                </c:pt>
              </c:strCache>
            </c:strRef>
          </c:cat>
          <c:val>
            <c:numRef>
              <c:f>Analysis!$F$56:$F$57</c:f>
              <c:numCache>
                <c:formatCode>General</c:formatCode>
                <c:ptCount val="2"/>
                <c:pt idx="0">
                  <c:v>10</c:v>
                </c:pt>
                <c:pt idx="1">
                  <c:v>1</c:v>
                </c:pt>
              </c:numCache>
            </c:numRef>
          </c:val>
          <c:extLst>
            <c:ext xmlns:c16="http://schemas.microsoft.com/office/drawing/2014/chart" uri="{C3380CC4-5D6E-409C-BE32-E72D297353CC}">
              <c16:uniqueId val="{00000004-C838-41FF-9CCD-7116B5A39CCE}"/>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N" sz="1200"/>
              <a:t> Do you measure/process CO₂ emissions </a:t>
            </a:r>
          </a:p>
          <a:p>
            <a:pPr>
              <a:defRPr sz="1200"/>
            </a:pPr>
            <a:r>
              <a:rPr lang="en-IN" sz="1200"/>
              <a:t>separately for: (a) process and</a:t>
            </a:r>
            <a:r>
              <a:rPr lang="en-IN" sz="1200" baseline="0"/>
              <a:t> </a:t>
            </a:r>
            <a:r>
              <a:rPr lang="en-IN" sz="1200"/>
              <a:t>(b) combustion? </a:t>
            </a:r>
            <a:br>
              <a:rPr lang="en-IN" sz="1200"/>
            </a:br>
            <a:r>
              <a:rPr lang="en-IN" sz="1200"/>
              <a:t>[n=12]</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Analysis!$F$139</c:f>
              <c:strCache>
                <c:ptCount val="1"/>
                <c:pt idx="0">
                  <c:v>38. Do you measure/process 
CO₂ emissions separately for: (a) process (calcination) and (b) combustion? </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C4-4223-B8B0-E96D3162071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C4-4223-B8B0-E96D316207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Analysis!$E$140:$E$141</c:f>
              <c:strCache>
                <c:ptCount val="2"/>
                <c:pt idx="0">
                  <c:v>Yes</c:v>
                </c:pt>
                <c:pt idx="1">
                  <c:v>No</c:v>
                </c:pt>
              </c:strCache>
            </c:strRef>
          </c:cat>
          <c:val>
            <c:numRef>
              <c:f>Analysis!$F$140:$F$141</c:f>
              <c:numCache>
                <c:formatCode>General</c:formatCode>
                <c:ptCount val="2"/>
                <c:pt idx="0">
                  <c:v>8</c:v>
                </c:pt>
                <c:pt idx="1">
                  <c:v>4</c:v>
                </c:pt>
              </c:numCache>
            </c:numRef>
          </c:val>
          <c:extLst>
            <c:ext xmlns:c16="http://schemas.microsoft.com/office/drawing/2014/chart" uri="{C3380CC4-5D6E-409C-BE32-E72D297353CC}">
              <c16:uniqueId val="{00000004-3BC4-4223-B8B0-E96D316207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Does the plant maintain</a:t>
            </a:r>
            <a:r>
              <a:rPr lang="en-US" sz="1200" baseline="0"/>
              <a:t> a</a:t>
            </a:r>
            <a:r>
              <a:rPr lang="en-US" sz="1200"/>
              <a:t> budget or roadmap for decarbonization? (n=12)</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Analysis!$F$153</c:f>
              <c:strCache>
                <c:ptCount val="1"/>
                <c:pt idx="0">
                  <c:v>63. Does the plant maintain
 a budget or roadmap for decarbonization? </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85-4286-B7D2-A81E8BE26435}"/>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85-4286-B7D2-A81E8BE264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Analysis!$E$154:$E$155</c:f>
              <c:strCache>
                <c:ptCount val="2"/>
                <c:pt idx="0">
                  <c:v>Yes</c:v>
                </c:pt>
                <c:pt idx="1">
                  <c:v>No</c:v>
                </c:pt>
              </c:strCache>
            </c:strRef>
          </c:cat>
          <c:val>
            <c:numRef>
              <c:f>Analysis!$F$154:$F$155</c:f>
              <c:numCache>
                <c:formatCode>General</c:formatCode>
                <c:ptCount val="2"/>
                <c:pt idx="0">
                  <c:v>4</c:v>
                </c:pt>
                <c:pt idx="1">
                  <c:v>8</c:v>
                </c:pt>
              </c:numCache>
            </c:numRef>
          </c:val>
          <c:extLst>
            <c:ext xmlns:c16="http://schemas.microsoft.com/office/drawing/2014/chart" uri="{C3380CC4-5D6E-409C-BE32-E72D297353CC}">
              <c16:uniqueId val="{00000004-8B85-4286-B7D2-A81E8BE264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mn-lt"/>
                <a:ea typeface="+mn-ea"/>
                <a:cs typeface="+mn-cs"/>
              </a:defRPr>
            </a:pPr>
            <a:r>
              <a:rPr lang="en-US" sz="1100"/>
              <a:t> Do you offer low-carbon 
cement products (e.g. blended cements, EPD-backed, low- clinker cement)? [n=12]</a:t>
            </a:r>
          </a:p>
        </c:rich>
      </c:tx>
      <c:overlay val="0"/>
      <c:spPr>
        <a:noFill/>
        <a:ln>
          <a:noFill/>
        </a:ln>
        <a:effectLst/>
      </c:spPr>
      <c:txPr>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tx>
            <c:strRef>
              <c:f>Analysis!$G$23</c:f>
              <c:strCache>
                <c:ptCount val="1"/>
                <c:pt idx="0">
                  <c:v> Do you offer low-carbon 
cement products (e.g., blended cements, EPD-backed, low- clinker cement)? </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80C7-4664-8051-46E4BBAD2833}"/>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80C7-4664-8051-46E4BBAD28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Analysis!$F$24:$F$25</c:f>
              <c:strCache>
                <c:ptCount val="2"/>
                <c:pt idx="0">
                  <c:v>Yes </c:v>
                </c:pt>
                <c:pt idx="1">
                  <c:v>No</c:v>
                </c:pt>
              </c:strCache>
            </c:strRef>
          </c:cat>
          <c:val>
            <c:numRef>
              <c:f>Analysis!$G$24:$G$25</c:f>
              <c:numCache>
                <c:formatCode>General</c:formatCode>
                <c:ptCount val="2"/>
                <c:pt idx="0">
                  <c:v>7</c:v>
                </c:pt>
                <c:pt idx="1">
                  <c:v>5</c:v>
                </c:pt>
              </c:numCache>
            </c:numRef>
          </c:val>
          <c:extLst>
            <c:ext xmlns:c16="http://schemas.microsoft.com/office/drawing/2014/chart" uri="{C3380CC4-5D6E-409C-BE32-E72D297353CC}">
              <c16:uniqueId val="{00000004-80C7-4664-8051-46E4BBAD28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Do you have a cross-functional
 decarbonization team? (n=11)</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Analysis!$F$84</c:f>
              <c:strCache>
                <c:ptCount val="1"/>
                <c:pt idx="0">
                  <c:v>73. Do you have a cross-functional
 decarbonization team?</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A4-49CD-8766-EE0BB424432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A4-49CD-8766-EE0BB42443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Analysis!$E$85:$E$86</c:f>
              <c:strCache>
                <c:ptCount val="2"/>
                <c:pt idx="0">
                  <c:v>Yes </c:v>
                </c:pt>
                <c:pt idx="1">
                  <c:v>No</c:v>
                </c:pt>
              </c:strCache>
            </c:strRef>
          </c:cat>
          <c:val>
            <c:numRef>
              <c:f>Analysis!$F$85:$F$86</c:f>
              <c:numCache>
                <c:formatCode>General</c:formatCode>
                <c:ptCount val="2"/>
                <c:pt idx="0">
                  <c:v>3</c:v>
                </c:pt>
                <c:pt idx="1">
                  <c:v>8</c:v>
                </c:pt>
              </c:numCache>
            </c:numRef>
          </c:val>
          <c:extLst>
            <c:ext xmlns:c16="http://schemas.microsoft.com/office/drawing/2014/chart" uri="{C3380CC4-5D6E-409C-BE32-E72D297353CC}">
              <c16:uniqueId val="{00000004-1FA4-49CD-8766-EE0BB424432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t>Availability</a:t>
            </a:r>
            <a:r>
              <a:rPr lang="en-US" sz="1000" baseline="0"/>
              <a:t> of </a:t>
            </a:r>
            <a:r>
              <a:rPr lang="en-US" sz="1000"/>
              <a:t>Renewable </a:t>
            </a:r>
          </a:p>
          <a:p>
            <a:pPr>
              <a:defRPr sz="1000"/>
            </a:pPr>
            <a:r>
              <a:rPr lang="en-US" sz="1000"/>
              <a:t>energy procurement (PPA, RECs) or on-site PV/wind? [n=12]</a:t>
            </a:r>
          </a:p>
        </c:rich>
      </c:tx>
      <c:layout>
        <c:manualLayout>
          <c:xMode val="edge"/>
          <c:yMode val="edge"/>
          <c:x val="0.15730629622041262"/>
          <c:y val="5.9523809523809521E-2"/>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Analysis!$G$18</c:f>
              <c:strCache>
                <c:ptCount val="1"/>
                <c:pt idx="0">
                  <c:v>c</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81-43C6-A17E-054CCE62DD4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81-43C6-A17E-054CCE62DD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Analysis!$F$19:$F$20</c:f>
              <c:strCache>
                <c:ptCount val="2"/>
                <c:pt idx="0">
                  <c:v>Yes </c:v>
                </c:pt>
                <c:pt idx="1">
                  <c:v>No</c:v>
                </c:pt>
              </c:strCache>
            </c:strRef>
          </c:cat>
          <c:val>
            <c:numRef>
              <c:f>Analysis!$G$19:$G$20</c:f>
              <c:numCache>
                <c:formatCode>General</c:formatCode>
                <c:ptCount val="2"/>
                <c:pt idx="0">
                  <c:v>11</c:v>
                </c:pt>
                <c:pt idx="1">
                  <c:v>1</c:v>
                </c:pt>
              </c:numCache>
            </c:numRef>
          </c:val>
          <c:extLst>
            <c:ext xmlns:c16="http://schemas.microsoft.com/office/drawing/2014/chart" uri="{C3380CC4-5D6E-409C-BE32-E72D297353CC}">
              <c16:uniqueId val="{00000000-FFF2-4E0B-B9B7-7DB24D5DCE0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mn-lt"/>
                <a:ea typeface="+mn-ea"/>
                <a:cs typeface="+mn-cs"/>
              </a:defRPr>
            </a:pPr>
            <a:r>
              <a:rPr lang="en-US" sz="1100"/>
              <a:t> Do you offer low-carbon 
cement products (e.g. blended cements, EPD-backed, low- clinker cement)? [n=12]</a:t>
            </a:r>
          </a:p>
        </c:rich>
      </c:tx>
      <c:overlay val="0"/>
      <c:spPr>
        <a:noFill/>
        <a:ln>
          <a:noFill/>
        </a:ln>
        <a:effectLst/>
      </c:spPr>
      <c:txPr>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tx>
            <c:strRef>
              <c:f>Analysis!$G$23</c:f>
              <c:strCache>
                <c:ptCount val="1"/>
                <c:pt idx="0">
                  <c:v> Do you offer low-carbon 
cement products (e.g., blended cements, EPD-backed, low- clinker cement)? </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9B87-4FB3-88BB-9929BB22C3C1}"/>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9B87-4FB3-88BB-9929BB22C3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Analysis!$F$24:$F$25</c:f>
              <c:strCache>
                <c:ptCount val="2"/>
                <c:pt idx="0">
                  <c:v>Yes </c:v>
                </c:pt>
                <c:pt idx="1">
                  <c:v>No</c:v>
                </c:pt>
              </c:strCache>
            </c:strRef>
          </c:cat>
          <c:val>
            <c:numRef>
              <c:f>Analysis!$G$24:$G$25</c:f>
              <c:numCache>
                <c:formatCode>General</c:formatCode>
                <c:ptCount val="2"/>
                <c:pt idx="0">
                  <c:v>7</c:v>
                </c:pt>
                <c:pt idx="1">
                  <c:v>5</c:v>
                </c:pt>
              </c:numCache>
            </c:numRef>
          </c:val>
          <c:extLst>
            <c:ext xmlns:c16="http://schemas.microsoft.com/office/drawing/2014/chart" uri="{C3380CC4-5D6E-409C-BE32-E72D297353CC}">
              <c16:uniqueId val="{00000000-722B-47CB-8E62-A72E87EC22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33. Do you maintain a documented 
energy management system (e.g., ISO 50001)? [n=11]</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Analysis!$F$55</c:f>
              <c:strCache>
                <c:ptCount val="1"/>
                <c:pt idx="0">
                  <c:v>33. Do you maintain a documented 
energy management system (e.g., ISO 50001)?</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3B2-40B1-8465-B0B9CC86AF25}"/>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33B2-40B1-8465-B0B9CC86AF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Analysis!$E$56:$E$57</c:f>
              <c:strCache>
                <c:ptCount val="2"/>
                <c:pt idx="0">
                  <c:v>Yes </c:v>
                </c:pt>
                <c:pt idx="1">
                  <c:v>No</c:v>
                </c:pt>
              </c:strCache>
            </c:strRef>
          </c:cat>
          <c:val>
            <c:numRef>
              <c:f>Analysis!$F$56:$F$57</c:f>
              <c:numCache>
                <c:formatCode>General</c:formatCode>
                <c:ptCount val="2"/>
                <c:pt idx="0">
                  <c:v>10</c:v>
                </c:pt>
                <c:pt idx="1">
                  <c:v>1</c:v>
                </c:pt>
              </c:numCache>
            </c:numRef>
          </c:val>
          <c:extLst>
            <c:ext xmlns:c16="http://schemas.microsoft.com/office/drawing/2014/chart" uri="{C3380CC4-5D6E-409C-BE32-E72D297353CC}">
              <c16:uniqueId val="{00000000-33B2-40B1-8465-B0B9CC86AF25}"/>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73. Do you have a cross-functional
 decarbonization team? (n=11)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Analysis!$F$84</c:f>
              <c:strCache>
                <c:ptCount val="1"/>
                <c:pt idx="0">
                  <c:v>73. Do you have a cross-functional
 decarbonization team?</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A62-4E35-A2BD-8B772443A774}"/>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A62-4E35-A2BD-8B772443A7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Analysis!$E$85:$E$86</c:f>
              <c:strCache>
                <c:ptCount val="2"/>
                <c:pt idx="0">
                  <c:v>Yes </c:v>
                </c:pt>
                <c:pt idx="1">
                  <c:v>No</c:v>
                </c:pt>
              </c:strCache>
            </c:strRef>
          </c:cat>
          <c:val>
            <c:numRef>
              <c:f>Analysis!$F$85:$F$86</c:f>
              <c:numCache>
                <c:formatCode>General</c:formatCode>
                <c:ptCount val="2"/>
                <c:pt idx="0">
                  <c:v>3</c:v>
                </c:pt>
                <c:pt idx="1">
                  <c:v>8</c:v>
                </c:pt>
              </c:numCache>
            </c:numRef>
          </c:val>
          <c:extLst>
            <c:ext xmlns:c16="http://schemas.microsoft.com/office/drawing/2014/chart" uri="{C3380CC4-5D6E-409C-BE32-E72D297353CC}">
              <c16:uniqueId val="{00000000-D06C-4162-A855-6D477B62DC1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31. Do you use any alternative raw
 materials or industrial by-products as inputs? (n=11)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Analysis!$F$125</c:f>
              <c:strCache>
                <c:ptCount val="1"/>
                <c:pt idx="0">
                  <c:v>31. Do you use any alternative 
raw
 materials or industrial by-products as inputs (e.g., fly ash, slag, waste gypsum, red mud)?</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EA-4BD5-8B7E-A4663553F924}"/>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EA-4BD5-8B7E-A4663553F9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Analysis!$E$126:$E$127</c:f>
              <c:strCache>
                <c:ptCount val="2"/>
                <c:pt idx="0">
                  <c:v>Yes</c:v>
                </c:pt>
                <c:pt idx="1">
                  <c:v>No</c:v>
                </c:pt>
              </c:strCache>
            </c:strRef>
          </c:cat>
          <c:val>
            <c:numRef>
              <c:f>Analysis!$F$126:$F$127</c:f>
              <c:numCache>
                <c:formatCode>General</c:formatCode>
                <c:ptCount val="2"/>
                <c:pt idx="0">
                  <c:v>10</c:v>
                </c:pt>
                <c:pt idx="1">
                  <c:v>1</c:v>
                </c:pt>
              </c:numCache>
            </c:numRef>
          </c:val>
          <c:extLst>
            <c:ext xmlns:c16="http://schemas.microsoft.com/office/drawing/2014/chart" uri="{C3380CC4-5D6E-409C-BE32-E72D297353CC}">
              <c16:uniqueId val="{00000000-C6C0-4872-953E-99B19DD328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N" sz="1200"/>
              <a:t>38. Do you measure/process 
CO₂ emissions separately for: (a) process (calcination) and (b) combustion? </a:t>
            </a:r>
            <a:br>
              <a:rPr lang="en-IN" sz="1200"/>
            </a:br>
            <a:r>
              <a:rPr lang="en-IN" sz="1200"/>
              <a:t>[n=12]</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Analysis!$F$139</c:f>
              <c:strCache>
                <c:ptCount val="1"/>
                <c:pt idx="0">
                  <c:v>38. Do you measure/process 
CO₂ emissions separately for: (a) process (calcination) and (b) combustion? </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56-4119-B21F-7EA6833E27D4}"/>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56-4119-B21F-7EA6833E27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Analysis!$E$140:$E$141</c:f>
              <c:strCache>
                <c:ptCount val="2"/>
                <c:pt idx="0">
                  <c:v>Yes</c:v>
                </c:pt>
                <c:pt idx="1">
                  <c:v>No</c:v>
                </c:pt>
              </c:strCache>
            </c:strRef>
          </c:cat>
          <c:val>
            <c:numRef>
              <c:f>Analysis!$F$140:$F$141</c:f>
              <c:numCache>
                <c:formatCode>General</c:formatCode>
                <c:ptCount val="2"/>
                <c:pt idx="0">
                  <c:v>8</c:v>
                </c:pt>
                <c:pt idx="1">
                  <c:v>4</c:v>
                </c:pt>
              </c:numCache>
            </c:numRef>
          </c:val>
          <c:extLst>
            <c:ext xmlns:c16="http://schemas.microsoft.com/office/drawing/2014/chart" uri="{C3380CC4-5D6E-409C-BE32-E72D297353CC}">
              <c16:uniqueId val="{00000000-4585-4BED-9C7A-C2B60AF5E09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63. Does the plant maintain
 a budget or roadmap for decarbonization? (n=12)</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Analysis!$F$153</c:f>
              <c:strCache>
                <c:ptCount val="1"/>
                <c:pt idx="0">
                  <c:v>63. Does the plant maintain
 a budget or roadmap for decarbonization? </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85-4CF3-AB4B-1D7465B9859B}"/>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85-4CF3-AB4B-1D7465B985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Analysis!$E$154:$E$155</c:f>
              <c:strCache>
                <c:ptCount val="2"/>
                <c:pt idx="0">
                  <c:v>Yes</c:v>
                </c:pt>
                <c:pt idx="1">
                  <c:v>No</c:v>
                </c:pt>
              </c:strCache>
            </c:strRef>
          </c:cat>
          <c:val>
            <c:numRef>
              <c:f>Analysis!$F$154:$F$155</c:f>
              <c:numCache>
                <c:formatCode>General</c:formatCode>
                <c:ptCount val="2"/>
                <c:pt idx="0">
                  <c:v>4</c:v>
                </c:pt>
                <c:pt idx="1">
                  <c:v>8</c:v>
                </c:pt>
              </c:numCache>
            </c:numRef>
          </c:val>
          <c:extLst>
            <c:ext xmlns:c16="http://schemas.microsoft.com/office/drawing/2014/chart" uri="{C3380CC4-5D6E-409C-BE32-E72D297353CC}">
              <c16:uniqueId val="{00000000-EA72-4AFC-93DA-ED2B0026EF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IN" sz="1400"/>
              <a:t>Clinker Production Capacity vs Average Annual Clinker Produced (Past 3 Yrs) [N=12]</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Analysis!$C$1</c:f>
              <c:strCache>
                <c:ptCount val="1"/>
                <c:pt idx="0">
                  <c:v>Installed clinker production (Tonnes/Yr) capacity </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Analysis!$B$2:$B$13</c:f>
              <c:strCache>
                <c:ptCount val="12"/>
                <c:pt idx="0">
                  <c:v>SC</c:v>
                </c:pt>
                <c:pt idx="1">
                  <c:v>UT - V</c:v>
                </c:pt>
                <c:pt idx="2">
                  <c:v>UT - S</c:v>
                </c:pt>
                <c:pt idx="3">
                  <c:v>JK</c:v>
                </c:pt>
                <c:pt idx="4">
                  <c:v>PJL I</c:v>
                </c:pt>
                <c:pt idx="5">
                  <c:v>PJL II</c:v>
                </c:pt>
                <c:pt idx="6">
                  <c:v>UT - B</c:v>
                </c:pt>
                <c:pt idx="7">
                  <c:v>UT - M</c:v>
                </c:pt>
                <c:pt idx="8">
                  <c:v>UT - D</c:v>
                </c:pt>
                <c:pt idx="9">
                  <c:v>DC</c:v>
                </c:pt>
                <c:pt idx="10">
                  <c:v>ACC</c:v>
                </c:pt>
                <c:pt idx="11">
                  <c:v>BCL</c:v>
                </c:pt>
              </c:strCache>
            </c:strRef>
          </c:cat>
          <c:val>
            <c:numRef>
              <c:f>Analysis!$C$2:$C$13</c:f>
              <c:numCache>
                <c:formatCode>General</c:formatCode>
                <c:ptCount val="12"/>
                <c:pt idx="0">
                  <c:v>1100000</c:v>
                </c:pt>
                <c:pt idx="1">
                  <c:v>4000000</c:v>
                </c:pt>
                <c:pt idx="2">
                  <c:v>3000000</c:v>
                </c:pt>
                <c:pt idx="3">
                  <c:v>7920000</c:v>
                </c:pt>
                <c:pt idx="4">
                  <c:v>2500000</c:v>
                </c:pt>
                <c:pt idx="5">
                  <c:v>3000000</c:v>
                </c:pt>
                <c:pt idx="6">
                  <c:v>2380000</c:v>
                </c:pt>
                <c:pt idx="7">
                  <c:v>8000000</c:v>
                </c:pt>
                <c:pt idx="8">
                  <c:v>6000000</c:v>
                </c:pt>
                <c:pt idx="9">
                  <c:v>3100000</c:v>
                </c:pt>
                <c:pt idx="10">
                  <c:v>1815000</c:v>
                </c:pt>
                <c:pt idx="11">
                  <c:v>3400000</c:v>
                </c:pt>
              </c:numCache>
            </c:numRef>
          </c:val>
          <c:extLst>
            <c:ext xmlns:c16="http://schemas.microsoft.com/office/drawing/2014/chart" uri="{C3380CC4-5D6E-409C-BE32-E72D297353CC}">
              <c16:uniqueId val="{00000000-B25C-4164-9B89-50EEE9248116}"/>
            </c:ext>
          </c:extLst>
        </c:ser>
        <c:ser>
          <c:idx val="1"/>
          <c:order val="1"/>
          <c:tx>
            <c:strRef>
              <c:f>Analysis!$G$1</c:f>
              <c:strCache>
                <c:ptCount val="1"/>
                <c:pt idx="0">
                  <c:v>Average Annual Clinker Production (last 3 years)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Analysis!$B$2:$B$13</c:f>
              <c:strCache>
                <c:ptCount val="12"/>
                <c:pt idx="0">
                  <c:v>SC</c:v>
                </c:pt>
                <c:pt idx="1">
                  <c:v>UT - V</c:v>
                </c:pt>
                <c:pt idx="2">
                  <c:v>UT - S</c:v>
                </c:pt>
                <c:pt idx="3">
                  <c:v>JK</c:v>
                </c:pt>
                <c:pt idx="4">
                  <c:v>PJL I</c:v>
                </c:pt>
                <c:pt idx="5">
                  <c:v>PJL II</c:v>
                </c:pt>
                <c:pt idx="6">
                  <c:v>UT - B</c:v>
                </c:pt>
                <c:pt idx="7">
                  <c:v>UT - M</c:v>
                </c:pt>
                <c:pt idx="8">
                  <c:v>UT - D</c:v>
                </c:pt>
                <c:pt idx="9">
                  <c:v>DC</c:v>
                </c:pt>
                <c:pt idx="10">
                  <c:v>ACC</c:v>
                </c:pt>
                <c:pt idx="11">
                  <c:v>BCL</c:v>
                </c:pt>
              </c:strCache>
            </c:strRef>
          </c:cat>
          <c:val>
            <c:numRef>
              <c:f>Analysis!$G$2:$G$13</c:f>
              <c:numCache>
                <c:formatCode>General</c:formatCode>
                <c:ptCount val="12"/>
                <c:pt idx="0">
                  <c:v>741403.5</c:v>
                </c:pt>
                <c:pt idx="1">
                  <c:v>3041401.6666666665</c:v>
                </c:pt>
                <c:pt idx="2">
                  <c:v>2739450.3333333335</c:v>
                </c:pt>
                <c:pt idx="3">
                  <c:v>1869852</c:v>
                </c:pt>
                <c:pt idx="4">
                  <c:v>1948538</c:v>
                </c:pt>
                <c:pt idx="5">
                  <c:v>2458146</c:v>
                </c:pt>
                <c:pt idx="6">
                  <c:v>1834875.3333333333</c:v>
                </c:pt>
                <c:pt idx="7">
                  <c:v>2640287.6666666665</c:v>
                </c:pt>
                <c:pt idx="8">
                  <c:v>4256074.666666667</c:v>
                </c:pt>
                <c:pt idx="9">
                  <c:v>2803384</c:v>
                </c:pt>
                <c:pt idx="10">
                  <c:v>869955</c:v>
                </c:pt>
                <c:pt idx="11">
                  <c:v>2861663.3333333335</c:v>
                </c:pt>
              </c:numCache>
            </c:numRef>
          </c:val>
          <c:extLst>
            <c:ext xmlns:c16="http://schemas.microsoft.com/office/drawing/2014/chart" uri="{C3380CC4-5D6E-409C-BE32-E72D297353CC}">
              <c16:uniqueId val="{00000001-B25C-4164-9B89-50EEE9248116}"/>
            </c:ext>
          </c:extLst>
        </c:ser>
        <c:dLbls>
          <c:showLegendKey val="0"/>
          <c:showVal val="0"/>
          <c:showCatName val="0"/>
          <c:showSerName val="0"/>
          <c:showPercent val="0"/>
          <c:showBubbleSize val="0"/>
        </c:dLbls>
        <c:gapWidth val="164"/>
        <c:overlap val="-22"/>
        <c:axId val="197808047"/>
        <c:axId val="1500567775"/>
      </c:barChart>
      <c:catAx>
        <c:axId val="1978080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67775"/>
        <c:crosses val="autoZero"/>
        <c:auto val="1"/>
        <c:lblAlgn val="ctr"/>
        <c:lblOffset val="100"/>
        <c:noMultiLvlLbl val="0"/>
      </c:catAx>
      <c:valAx>
        <c:axId val="150056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80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Clinker Factor (%) [N=11]</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Analysis!$C$38</c:f>
              <c:strCache>
                <c:ptCount val="1"/>
                <c:pt idx="0">
                  <c:v>Clinker Factor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Analysis!$B$39:$B$49</c:f>
              <c:strCache>
                <c:ptCount val="11"/>
                <c:pt idx="0">
                  <c:v>SC</c:v>
                </c:pt>
                <c:pt idx="1">
                  <c:v>UT - V</c:v>
                </c:pt>
                <c:pt idx="2">
                  <c:v>UT - S</c:v>
                </c:pt>
                <c:pt idx="3">
                  <c:v>JK</c:v>
                </c:pt>
                <c:pt idx="4">
                  <c:v>PJL I</c:v>
                </c:pt>
                <c:pt idx="5">
                  <c:v>PJL II</c:v>
                </c:pt>
                <c:pt idx="6">
                  <c:v>UT - B</c:v>
                </c:pt>
                <c:pt idx="7">
                  <c:v>UT - M</c:v>
                </c:pt>
                <c:pt idx="8">
                  <c:v>UT - D</c:v>
                </c:pt>
                <c:pt idx="9">
                  <c:v>ACC</c:v>
                </c:pt>
                <c:pt idx="10">
                  <c:v>BCL</c:v>
                </c:pt>
              </c:strCache>
            </c:strRef>
          </c:cat>
          <c:val>
            <c:numRef>
              <c:f>Analysis!$C$39:$C$49</c:f>
              <c:numCache>
                <c:formatCode>0.00%</c:formatCode>
                <c:ptCount val="11"/>
                <c:pt idx="0">
                  <c:v>0.8</c:v>
                </c:pt>
                <c:pt idx="1">
                  <c:v>0.71040000000000003</c:v>
                </c:pt>
                <c:pt idx="2" formatCode="0%">
                  <c:v>0.63</c:v>
                </c:pt>
                <c:pt idx="3">
                  <c:v>0.69389999999999996</c:v>
                </c:pt>
                <c:pt idx="4">
                  <c:v>0.67889999999999995</c:v>
                </c:pt>
                <c:pt idx="5">
                  <c:v>0.67889999999999995</c:v>
                </c:pt>
                <c:pt idx="6">
                  <c:v>0.93759999999999999</c:v>
                </c:pt>
                <c:pt idx="7">
                  <c:v>0.76100000000000001</c:v>
                </c:pt>
                <c:pt idx="8">
                  <c:v>0.72119999999999995</c:v>
                </c:pt>
                <c:pt idx="9">
                  <c:v>0.61519999999999997</c:v>
                </c:pt>
                <c:pt idx="10">
                  <c:v>0.66439999999999999</c:v>
                </c:pt>
              </c:numCache>
            </c:numRef>
          </c:val>
          <c:extLst>
            <c:ext xmlns:c16="http://schemas.microsoft.com/office/drawing/2014/chart" uri="{C3380CC4-5D6E-409C-BE32-E72D297353CC}">
              <c16:uniqueId val="{00000000-03C8-4857-92DF-285EFB3DF06B}"/>
            </c:ext>
          </c:extLst>
        </c:ser>
        <c:dLbls>
          <c:dLblPos val="ctr"/>
          <c:showLegendKey val="0"/>
          <c:showVal val="1"/>
          <c:showCatName val="0"/>
          <c:showSerName val="0"/>
          <c:showPercent val="0"/>
          <c:showBubbleSize val="0"/>
        </c:dLbls>
        <c:gapWidth val="79"/>
        <c:overlap val="100"/>
        <c:axId val="1452916015"/>
        <c:axId val="1452916495"/>
      </c:barChart>
      <c:catAx>
        <c:axId val="145291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52916495"/>
        <c:crosses val="autoZero"/>
        <c:auto val="1"/>
        <c:lblAlgn val="ctr"/>
        <c:lblOffset val="100"/>
        <c:noMultiLvlLbl val="0"/>
      </c:catAx>
      <c:valAx>
        <c:axId val="1452916495"/>
        <c:scaling>
          <c:orientation val="minMax"/>
        </c:scaling>
        <c:delete val="1"/>
        <c:axPos val="l"/>
        <c:numFmt formatCode="0.00%" sourceLinked="1"/>
        <c:majorTickMark val="none"/>
        <c:minorTickMark val="none"/>
        <c:tickLblPos val="nextTo"/>
        <c:crossAx val="145291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14. Average kiln thermal energy consumption (kcal/kg clinker) [N=11]</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Analysis!$C$71</c:f>
              <c:strCache>
                <c:ptCount val="1"/>
                <c:pt idx="0">
                  <c:v>
14. Average kiln thermal energy consumption (kcal/kg clinker)</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Analysis!$B$72:$B$82</c:f>
              <c:strCache>
                <c:ptCount val="11"/>
                <c:pt idx="0">
                  <c:v>SC</c:v>
                </c:pt>
                <c:pt idx="1">
                  <c:v>UT - V</c:v>
                </c:pt>
                <c:pt idx="2">
                  <c:v>UT - S</c:v>
                </c:pt>
                <c:pt idx="3">
                  <c:v>JK</c:v>
                </c:pt>
                <c:pt idx="4">
                  <c:v>PJL I</c:v>
                </c:pt>
                <c:pt idx="5">
                  <c:v>PJL II</c:v>
                </c:pt>
                <c:pt idx="6">
                  <c:v>UT - B</c:v>
                </c:pt>
                <c:pt idx="7">
                  <c:v>UT - M</c:v>
                </c:pt>
                <c:pt idx="8">
                  <c:v>UT - D</c:v>
                </c:pt>
                <c:pt idx="9">
                  <c:v>DC</c:v>
                </c:pt>
                <c:pt idx="10">
                  <c:v>BCL</c:v>
                </c:pt>
              </c:strCache>
            </c:strRef>
          </c:cat>
          <c:val>
            <c:numRef>
              <c:f>Analysis!$C$72:$C$82</c:f>
              <c:numCache>
                <c:formatCode>General</c:formatCode>
                <c:ptCount val="11"/>
                <c:pt idx="0">
                  <c:v>718</c:v>
                </c:pt>
                <c:pt idx="1">
                  <c:v>698</c:v>
                </c:pt>
                <c:pt idx="2">
                  <c:v>706.03</c:v>
                </c:pt>
                <c:pt idx="3">
                  <c:v>728</c:v>
                </c:pt>
                <c:pt idx="4">
                  <c:v>726</c:v>
                </c:pt>
                <c:pt idx="5">
                  <c:v>734</c:v>
                </c:pt>
                <c:pt idx="6">
                  <c:v>706.75</c:v>
                </c:pt>
                <c:pt idx="7">
                  <c:v>764.26</c:v>
                </c:pt>
                <c:pt idx="8">
                  <c:v>698.43</c:v>
                </c:pt>
                <c:pt idx="9">
                  <c:v>740</c:v>
                </c:pt>
                <c:pt idx="10">
                  <c:v>775.59</c:v>
                </c:pt>
              </c:numCache>
            </c:numRef>
          </c:val>
          <c:extLst>
            <c:ext xmlns:c16="http://schemas.microsoft.com/office/drawing/2014/chart" uri="{C3380CC4-5D6E-409C-BE32-E72D297353CC}">
              <c16:uniqueId val="{00000000-306B-49C9-AF93-16C40DD412EA}"/>
            </c:ext>
          </c:extLst>
        </c:ser>
        <c:dLbls>
          <c:dLblPos val="ctr"/>
          <c:showLegendKey val="0"/>
          <c:showVal val="1"/>
          <c:showCatName val="0"/>
          <c:showSerName val="0"/>
          <c:showPercent val="0"/>
          <c:showBubbleSize val="0"/>
        </c:dLbls>
        <c:gapWidth val="150"/>
        <c:overlap val="100"/>
        <c:axId val="1453019695"/>
        <c:axId val="1453032655"/>
      </c:barChart>
      <c:catAx>
        <c:axId val="1453019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32655"/>
        <c:crosses val="autoZero"/>
        <c:auto val="1"/>
        <c:lblAlgn val="ctr"/>
        <c:lblOffset val="100"/>
        <c:noMultiLvlLbl val="0"/>
      </c:catAx>
      <c:valAx>
        <c:axId val="145303265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01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551131</xdr:colOff>
      <xdr:row>3</xdr:row>
      <xdr:rowOff>167736</xdr:rowOff>
    </xdr:from>
    <xdr:to>
      <xdr:col>12</xdr:col>
      <xdr:colOff>599055</xdr:colOff>
      <xdr:row>22</xdr:row>
      <xdr:rowOff>155754</xdr:rowOff>
    </xdr:to>
    <xdr:graphicFrame macro="">
      <xdr:nvGraphicFramePr>
        <xdr:cNvPr id="2" name="Chart 1">
          <a:extLst>
            <a:ext uri="{FF2B5EF4-FFF2-40B4-BE49-F238E27FC236}">
              <a16:creationId xmlns:a16="http://schemas.microsoft.com/office/drawing/2014/main" id="{E48B724E-C745-4770-8B3E-A718F9FFF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11984</xdr:colOff>
      <xdr:row>3</xdr:row>
      <xdr:rowOff>131795</xdr:rowOff>
    </xdr:from>
    <xdr:to>
      <xdr:col>24</xdr:col>
      <xdr:colOff>96623</xdr:colOff>
      <xdr:row>22</xdr:row>
      <xdr:rowOff>143773</xdr:rowOff>
    </xdr:to>
    <xdr:graphicFrame macro="">
      <xdr:nvGraphicFramePr>
        <xdr:cNvPr id="3" name="Chart 2">
          <a:extLst>
            <a:ext uri="{FF2B5EF4-FFF2-40B4-BE49-F238E27FC236}">
              <a16:creationId xmlns:a16="http://schemas.microsoft.com/office/drawing/2014/main" id="{AAD0934B-5FF8-42A4-976E-9C308D89C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18123</xdr:colOff>
      <xdr:row>24</xdr:row>
      <xdr:rowOff>8601</xdr:rowOff>
    </xdr:from>
    <xdr:to>
      <xdr:col>12</xdr:col>
      <xdr:colOff>611036</xdr:colOff>
      <xdr:row>41</xdr:row>
      <xdr:rowOff>172036</xdr:rowOff>
    </xdr:to>
    <xdr:graphicFrame macro="">
      <xdr:nvGraphicFramePr>
        <xdr:cNvPr id="4" name="Chart 3">
          <a:extLst>
            <a:ext uri="{FF2B5EF4-FFF2-40B4-BE49-F238E27FC236}">
              <a16:creationId xmlns:a16="http://schemas.microsoft.com/office/drawing/2014/main" id="{DAB4A0C4-C3D1-46D5-B027-827300BC6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4914</xdr:colOff>
      <xdr:row>24</xdr:row>
      <xdr:rowOff>18125</xdr:rowOff>
    </xdr:from>
    <xdr:to>
      <xdr:col>23</xdr:col>
      <xdr:colOff>599057</xdr:colOff>
      <xdr:row>42</xdr:row>
      <xdr:rowOff>11981</xdr:rowOff>
    </xdr:to>
    <xdr:graphicFrame macro="">
      <xdr:nvGraphicFramePr>
        <xdr:cNvPr id="5" name="Chart 4">
          <a:extLst>
            <a:ext uri="{FF2B5EF4-FFF2-40B4-BE49-F238E27FC236}">
              <a16:creationId xmlns:a16="http://schemas.microsoft.com/office/drawing/2014/main" id="{E798454A-2195-4A06-AEB5-60A0E4B5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4608</xdr:colOff>
      <xdr:row>43</xdr:row>
      <xdr:rowOff>170499</xdr:rowOff>
    </xdr:from>
    <xdr:to>
      <xdr:col>12</xdr:col>
      <xdr:colOff>587075</xdr:colOff>
      <xdr:row>63</xdr:row>
      <xdr:rowOff>167735</xdr:rowOff>
    </xdr:to>
    <xdr:graphicFrame macro="">
      <xdr:nvGraphicFramePr>
        <xdr:cNvPr id="6" name="Chart 5">
          <a:extLst>
            <a:ext uri="{FF2B5EF4-FFF2-40B4-BE49-F238E27FC236}">
              <a16:creationId xmlns:a16="http://schemas.microsoft.com/office/drawing/2014/main" id="{85D2821A-5EF6-40B8-80EC-8D282C5E6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610728</xdr:colOff>
      <xdr:row>43</xdr:row>
      <xdr:rowOff>149915</xdr:rowOff>
    </xdr:from>
    <xdr:to>
      <xdr:col>24</xdr:col>
      <xdr:colOff>47924</xdr:colOff>
      <xdr:row>63</xdr:row>
      <xdr:rowOff>167735</xdr:rowOff>
    </xdr:to>
    <xdr:graphicFrame macro="">
      <xdr:nvGraphicFramePr>
        <xdr:cNvPr id="7" name="Chart 6">
          <a:extLst>
            <a:ext uri="{FF2B5EF4-FFF2-40B4-BE49-F238E27FC236}">
              <a16:creationId xmlns:a16="http://schemas.microsoft.com/office/drawing/2014/main" id="{75B89AAB-DB2B-4BCD-B861-56B815F0C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1843</xdr:colOff>
      <xdr:row>66</xdr:row>
      <xdr:rowOff>10444</xdr:rowOff>
    </xdr:from>
    <xdr:to>
      <xdr:col>12</xdr:col>
      <xdr:colOff>599056</xdr:colOff>
      <xdr:row>86</xdr:row>
      <xdr:rowOff>155754</xdr:rowOff>
    </xdr:to>
    <xdr:graphicFrame macro="">
      <xdr:nvGraphicFramePr>
        <xdr:cNvPr id="8" name="Chart 7">
          <a:extLst>
            <a:ext uri="{FF2B5EF4-FFF2-40B4-BE49-F238E27FC236}">
              <a16:creationId xmlns:a16="http://schemas.microsoft.com/office/drawing/2014/main" id="{6A5698EE-DAEF-4A1F-99AE-769AF36FB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89</xdr:row>
      <xdr:rowOff>5224</xdr:rowOff>
    </xdr:from>
    <xdr:to>
      <xdr:col>12</xdr:col>
      <xdr:colOff>597212</xdr:colOff>
      <xdr:row>111</xdr:row>
      <xdr:rowOff>21506</xdr:rowOff>
    </xdr:to>
    <xdr:graphicFrame macro="">
      <xdr:nvGraphicFramePr>
        <xdr:cNvPr id="9" name="Chart 8">
          <a:extLst>
            <a:ext uri="{FF2B5EF4-FFF2-40B4-BE49-F238E27FC236}">
              <a16:creationId xmlns:a16="http://schemas.microsoft.com/office/drawing/2014/main" id="{7C69EC66-B912-4A14-8CD2-840E69303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11982</xdr:colOff>
      <xdr:row>66</xdr:row>
      <xdr:rowOff>35946</xdr:rowOff>
    </xdr:from>
    <xdr:to>
      <xdr:col>24</xdr:col>
      <xdr:colOff>71885</xdr:colOff>
      <xdr:row>87</xdr:row>
      <xdr:rowOff>11980</xdr:rowOff>
    </xdr:to>
    <xdr:graphicFrame macro="">
      <xdr:nvGraphicFramePr>
        <xdr:cNvPr id="11" name="Chart 10">
          <a:extLst>
            <a:ext uri="{FF2B5EF4-FFF2-40B4-BE49-F238E27FC236}">
              <a16:creationId xmlns:a16="http://schemas.microsoft.com/office/drawing/2014/main" id="{0789519B-E586-43A1-9709-D437D64A6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607045</xdr:colOff>
      <xdr:row>88</xdr:row>
      <xdr:rowOff>178179</xdr:rowOff>
    </xdr:from>
    <xdr:to>
      <xdr:col>24</xdr:col>
      <xdr:colOff>11982</xdr:colOff>
      <xdr:row>111</xdr:row>
      <xdr:rowOff>23962</xdr:rowOff>
    </xdr:to>
    <xdr:graphicFrame macro="">
      <xdr:nvGraphicFramePr>
        <xdr:cNvPr id="12" name="Chart 11">
          <a:extLst>
            <a:ext uri="{FF2B5EF4-FFF2-40B4-BE49-F238E27FC236}">
              <a16:creationId xmlns:a16="http://schemas.microsoft.com/office/drawing/2014/main" id="{4C110568-FBF9-4371-8B3A-5B3B0092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603250</xdr:colOff>
      <xdr:row>17</xdr:row>
      <xdr:rowOff>6350</xdr:rowOff>
    </xdr:from>
    <xdr:to>
      <xdr:col>17</xdr:col>
      <xdr:colOff>228600</xdr:colOff>
      <xdr:row>22</xdr:row>
      <xdr:rowOff>787400</xdr:rowOff>
    </xdr:to>
    <xdr:graphicFrame macro="">
      <xdr:nvGraphicFramePr>
        <xdr:cNvPr id="4" name="Chart 3">
          <a:extLst>
            <a:ext uri="{FF2B5EF4-FFF2-40B4-BE49-F238E27FC236}">
              <a16:creationId xmlns:a16="http://schemas.microsoft.com/office/drawing/2014/main" id="{29F0223E-7215-3ACE-F664-04213191B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600074</xdr:colOff>
      <xdr:row>22</xdr:row>
      <xdr:rowOff>1162050</xdr:rowOff>
    </xdr:from>
    <xdr:to>
      <xdr:col>17</xdr:col>
      <xdr:colOff>50799</xdr:colOff>
      <xdr:row>33</xdr:row>
      <xdr:rowOff>177800</xdr:rowOff>
    </xdr:to>
    <xdr:graphicFrame macro="">
      <xdr:nvGraphicFramePr>
        <xdr:cNvPr id="6" name="Chart 5">
          <a:extLst>
            <a:ext uri="{FF2B5EF4-FFF2-40B4-BE49-F238E27FC236}">
              <a16:creationId xmlns:a16="http://schemas.microsoft.com/office/drawing/2014/main" id="{34B7DF0A-E4E0-1F52-64EB-93EB8DFB3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334817</xdr:colOff>
      <xdr:row>54</xdr:row>
      <xdr:rowOff>135080</xdr:rowOff>
    </xdr:from>
    <xdr:to>
      <xdr:col>18</xdr:col>
      <xdr:colOff>80818</xdr:colOff>
      <xdr:row>65</xdr:row>
      <xdr:rowOff>115454</xdr:rowOff>
    </xdr:to>
    <xdr:graphicFrame macro="">
      <xdr:nvGraphicFramePr>
        <xdr:cNvPr id="10" name="Chart 9">
          <a:extLst>
            <a:ext uri="{FF2B5EF4-FFF2-40B4-BE49-F238E27FC236}">
              <a16:creationId xmlns:a16="http://schemas.microsoft.com/office/drawing/2014/main" id="{2E32601B-7041-FD22-2E74-46E38B439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40941</xdr:colOff>
      <xdr:row>83</xdr:row>
      <xdr:rowOff>0</xdr:rowOff>
    </xdr:from>
    <xdr:to>
      <xdr:col>14</xdr:col>
      <xdr:colOff>176296</xdr:colOff>
      <xdr:row>94</xdr:row>
      <xdr:rowOff>135022</xdr:rowOff>
    </xdr:to>
    <xdr:graphicFrame macro="">
      <xdr:nvGraphicFramePr>
        <xdr:cNvPr id="12" name="Chart 11">
          <a:extLst>
            <a:ext uri="{FF2B5EF4-FFF2-40B4-BE49-F238E27FC236}">
              <a16:creationId xmlns:a16="http://schemas.microsoft.com/office/drawing/2014/main" id="{14609659-8A4A-4A7D-84E4-7AADAF6A4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609934</xdr:colOff>
      <xdr:row>124</xdr:row>
      <xdr:rowOff>48793</xdr:rowOff>
    </xdr:from>
    <xdr:to>
      <xdr:col>14</xdr:col>
      <xdr:colOff>167941</xdr:colOff>
      <xdr:row>135</xdr:row>
      <xdr:rowOff>25064</xdr:rowOff>
    </xdr:to>
    <xdr:graphicFrame macro="">
      <xdr:nvGraphicFramePr>
        <xdr:cNvPr id="13" name="Chart 12">
          <a:extLst>
            <a:ext uri="{FF2B5EF4-FFF2-40B4-BE49-F238E27FC236}">
              <a16:creationId xmlns:a16="http://schemas.microsoft.com/office/drawing/2014/main" id="{4AAF4ADB-A4FC-2790-0095-4B42E95D5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49296</xdr:colOff>
      <xdr:row>138</xdr:row>
      <xdr:rowOff>15373</xdr:rowOff>
    </xdr:from>
    <xdr:to>
      <xdr:col>15</xdr:col>
      <xdr:colOff>492961</xdr:colOff>
      <xdr:row>152</xdr:row>
      <xdr:rowOff>50131</xdr:rowOff>
    </xdr:to>
    <xdr:graphicFrame macro="">
      <xdr:nvGraphicFramePr>
        <xdr:cNvPr id="14" name="Chart 13">
          <a:extLst>
            <a:ext uri="{FF2B5EF4-FFF2-40B4-BE49-F238E27FC236}">
              <a16:creationId xmlns:a16="http://schemas.microsoft.com/office/drawing/2014/main" id="{CD4579E3-E41C-4DAF-3E43-45F7C4CFF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325020</xdr:colOff>
      <xdr:row>153</xdr:row>
      <xdr:rowOff>7019</xdr:rowOff>
    </xdr:from>
    <xdr:to>
      <xdr:col>14</xdr:col>
      <xdr:colOff>460375</xdr:colOff>
      <xdr:row>167</xdr:row>
      <xdr:rowOff>168444</xdr:rowOff>
    </xdr:to>
    <xdr:graphicFrame macro="">
      <xdr:nvGraphicFramePr>
        <xdr:cNvPr id="15" name="Chart 14">
          <a:extLst>
            <a:ext uri="{FF2B5EF4-FFF2-40B4-BE49-F238E27FC236}">
              <a16:creationId xmlns:a16="http://schemas.microsoft.com/office/drawing/2014/main" id="{0747F077-5263-CCBC-B97F-7ECF7EFE5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651711</xdr:colOff>
      <xdr:row>0</xdr:row>
      <xdr:rowOff>125329</xdr:rowOff>
    </xdr:from>
    <xdr:to>
      <xdr:col>18</xdr:col>
      <xdr:colOff>601579</xdr:colOff>
      <xdr:row>16</xdr:row>
      <xdr:rowOff>66841</xdr:rowOff>
    </xdr:to>
    <xdr:graphicFrame macro="">
      <xdr:nvGraphicFramePr>
        <xdr:cNvPr id="17" name="Chart 16">
          <a:extLst>
            <a:ext uri="{FF2B5EF4-FFF2-40B4-BE49-F238E27FC236}">
              <a16:creationId xmlns:a16="http://schemas.microsoft.com/office/drawing/2014/main" id="{3F123A9F-C64C-1447-352C-156BEF9F3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584031</xdr:colOff>
      <xdr:row>34</xdr:row>
      <xdr:rowOff>174124</xdr:rowOff>
    </xdr:from>
    <xdr:to>
      <xdr:col>18</xdr:col>
      <xdr:colOff>593223</xdr:colOff>
      <xdr:row>51</xdr:row>
      <xdr:rowOff>8355</xdr:rowOff>
    </xdr:to>
    <xdr:graphicFrame macro="">
      <xdr:nvGraphicFramePr>
        <xdr:cNvPr id="18" name="Chart 17">
          <a:extLst>
            <a:ext uri="{FF2B5EF4-FFF2-40B4-BE49-F238E27FC236}">
              <a16:creationId xmlns:a16="http://schemas.microsoft.com/office/drawing/2014/main" id="{65711134-A3AB-A9EE-3194-FCF4A3B14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776204</xdr:colOff>
      <xdr:row>67</xdr:row>
      <xdr:rowOff>65505</xdr:rowOff>
    </xdr:from>
    <xdr:to>
      <xdr:col>18</xdr:col>
      <xdr:colOff>142039</xdr:colOff>
      <xdr:row>81</xdr:row>
      <xdr:rowOff>33421</xdr:rowOff>
    </xdr:to>
    <xdr:graphicFrame macro="">
      <xdr:nvGraphicFramePr>
        <xdr:cNvPr id="20" name="Chart 19">
          <a:extLst>
            <a:ext uri="{FF2B5EF4-FFF2-40B4-BE49-F238E27FC236}">
              <a16:creationId xmlns:a16="http://schemas.microsoft.com/office/drawing/2014/main" id="{6B8ECCF6-2D28-583E-16EC-8426F1F1D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DF11F6-4DD9-4C5A-AFAF-759EC6C608C8}" name="Table2" displayName="Table2" ref="B1:G13" totalsRowShown="0" headerRowDxfId="23" dataDxfId="22" tableBorderDxfId="21">
  <autoFilter ref="B1:G13" xr:uid="{C4DF11F6-4DD9-4C5A-AFAF-759EC6C608C8}"/>
  <tableColumns count="6">
    <tableColumn id="11" xr3:uid="{7B89E93E-2E8E-4F27-8D74-AE10C44447FB}" name="Firm" dataDxfId="20"/>
    <tableColumn id="1" xr3:uid="{E01FC74B-8A62-4427-AE5E-05B1158A102A}" name="Installed clinker production (Tonnes/Yr) capacity " dataDxfId="19"/>
    <tableColumn id="2" xr3:uid="{760D7B28-6B70-49DF-A49F-34801EE50721}" name="9. Typical annual clinker production_x000a_ of 2022-23" dataDxfId="18"/>
    <tableColumn id="3" xr3:uid="{555C6690-D5AB-4FE5-8831-5F1AFFC1A083}" name="Typical annual clinker production_x000a_ of 2023-24" dataDxfId="17"/>
    <tableColumn id="4" xr3:uid="{48489306-A58A-44B1-A3DB-0FC25DE1D7C1}" name="Typical annual clinker production_x000a_ of 2024-25" dataDxfId="16"/>
    <tableColumn id="5" xr3:uid="{AD50C2BC-4900-43D2-9ED2-EA6D276E8F3F}" name="Average Annual Clinker Production (last 3 years)" dataDxfId="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CB85BF-D5E7-4F4A-8083-8085FA6DB9A4}" name="Table3" displayName="Table3" ref="B18:D30" totalsRowShown="0" tableBorderDxfId="14">
  <autoFilter ref="B18:D30" xr:uid="{D6CB85BF-D5E7-4F4A-8083-8085FA6DB9A4}"/>
  <tableColumns count="3">
    <tableColumn id="1" xr3:uid="{794BEF71-97F7-44F2-BBA0-DFBBBEEE1F73}" name="S. No. " dataDxfId="13"/>
    <tableColumn id="2" xr3:uid="{B7B2E9B7-C4F2-4A3D-9CFA-A74D9C4F37CC}" name="Plant name" dataDxfId="12"/>
    <tableColumn id="4" xr3:uid="{37E6AEA1-C16C-46BB-8862-B5D58CC8D37E}" name="Do you have Renewable _x000a_energy procurement (PPA, RECs) or on-site PV/win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DF2B3D-25D7-4D0B-80E0-F646E686FF25}" name="Table4" displayName="Table4" ref="F18:G20" totalsRowShown="0">
  <autoFilter ref="F18:G20" xr:uid="{3DDF2B3D-25D7-4D0B-80E0-F646E686FF25}"/>
  <tableColumns count="2">
    <tableColumn id="1" xr3:uid="{F7990C5F-1F81-438E-AAC7-F7237950F593}" name="Do you have Renewable _x000a_energy procurement (PPA, RECs) or on-site PV/wind)"/>
    <tableColumn id="2" xr3:uid="{00604CFD-CA1C-48F9-8AEF-27209B8C06FA}" name="c"/>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588125-6424-4546-976D-C27D73BCE00F}" name="Table5" displayName="Table5" ref="F23:G25" totalsRowShown="0" headerRowDxfId="11" tableBorderDxfId="10">
  <autoFilter ref="F23:G25" xr:uid="{04588125-6424-4546-976D-C27D73BCE00F}"/>
  <tableColumns count="2">
    <tableColumn id="1" xr3:uid="{6E7CA621-964E-4B32-B58B-A765B4E2BD42}" name="Column1"/>
    <tableColumn id="2" xr3:uid="{4ED88120-8053-4A16-9B79-9EECA9378D32}" name=" Do you offer low-carbon _x000a_cement products (e.g., blended cements, EPD-backed, low- clinker cement)? "/>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F8C244-6DBE-401E-9573-251711BE7152}" name="Table6" displayName="Table6" ref="B38:C50" totalsRowShown="0" headerRowDxfId="9">
  <autoFilter ref="B38:C50" xr:uid="{14F8C244-6DBE-401E-9573-251711BE7152}"/>
  <tableColumns count="2">
    <tableColumn id="3" xr3:uid="{EC6A57D5-147C-4D87-AD3E-AFD7F4369027}" name="Firm" dataDxfId="8"/>
    <tableColumn id="2" xr3:uid="{97C59FC0-A129-42FE-8EDB-6E241190328B}" name="Clinker Factor (%)" dataDxfId="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B39C7C-E53B-4DE7-84A9-6B607D0E37B7}" name="Table7" displayName="Table7" ref="B56:C68" totalsRowShown="0">
  <autoFilter ref="B56:C68" xr:uid="{66B39C7C-E53B-4DE7-84A9-6B607D0E37B7}"/>
  <tableColumns count="2">
    <tableColumn id="1" xr3:uid="{E1CD39E4-BDAC-40D0-AB5D-BFC83890F329}" name="Plant No."/>
    <tableColumn id="2" xr3:uid="{B9C7C370-5EA4-4F25-B474-D0D2712615F8}" name="33. Do you maintain a documented _x000a_energy management system (e.g., ISO 50001)?" dataDxfId="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988F86-1FB7-4A87-BCE4-573536003673}" name="Table8" displayName="Table8" ref="B71:C83" totalsRowShown="0">
  <autoFilter ref="B71:C83" xr:uid="{09988F86-1FB7-4A87-BCE4-573536003673}"/>
  <tableColumns count="2">
    <tableColumn id="1" xr3:uid="{3423EDFE-117F-4DAC-9172-8818E70C021F}" name="Firm" dataDxfId="5"/>
    <tableColumn id="2" xr3:uid="{8250C029-BEC4-4C71-8ED2-9496587D8E2E}" name="_x000a_14. Average kiln thermal energy consumption (kcal/kg clinker)" dataDxfId="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7A4275-BA5F-4958-9F88-935B6C1834DC}" name="Table510" displayName="Table510" ref="E55:F57" totalsRowShown="0" headerRowDxfId="3" tableBorderDxfId="2">
  <autoFilter ref="E55:F57" xr:uid="{9A7A4275-BA5F-4958-9F88-935B6C1834DC}"/>
  <tableColumns count="2">
    <tableColumn id="1" xr3:uid="{A6B8B81B-E03E-4669-9342-88A398364DBA}" name="Yes / No"/>
    <tableColumn id="2" xr3:uid="{81BFA56F-256E-4232-85B6-2D3DE124FF00}" name="33. Do you maintain a documented _x000a_energy management system (e.g., ISO 5000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E13DC9-6595-42BA-A582-2C3C0CC87177}" name="Table5102" displayName="Table5102" ref="E84:F86" totalsRowShown="0" headerRowDxfId="1" tableBorderDxfId="0">
  <autoFilter ref="E84:F86" xr:uid="{76E13DC9-6595-42BA-A582-2C3C0CC87177}"/>
  <tableColumns count="2">
    <tableColumn id="1" xr3:uid="{B378C3B8-59A9-44C5-A4C4-97A29A7E00C4}" name="Yes / No"/>
    <tableColumn id="2" xr3:uid="{555DBBF0-A90C-4DED-B5B5-43DEC41B533B}" name="73. Do you have a cross-functional_x000a_ decarbonization team?"/>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F6AAFE-6872-4AE8-AE28-CF0B148DBF2E}" name="Table10" displayName="Table10" ref="E125:F127" totalsRowShown="0">
  <autoFilter ref="E125:F127" xr:uid="{E9F6AAFE-6872-4AE8-AE28-CF0B148DBF2E}"/>
  <tableColumns count="2">
    <tableColumn id="1" xr3:uid="{3FEFC2DD-FC9D-4298-B87F-3F5133D744DF}" name="Yes/No"/>
    <tableColumn id="2" xr3:uid="{BB99F8F8-0BB5-487C-BC92-917B892FA69B}" name="31. Do you use any alternative _x000a_raw_x000a_ materials or industrial by-products as inputs (e.g., fly ash, slag, waste gypsum, red mud)?"/>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36A2CE-9245-4CD7-8A80-9FAFDBD9BFE7}" name="Table1012" displayName="Table1012" ref="E139:F141" totalsRowShown="0">
  <autoFilter ref="E139:F141" xr:uid="{7F36A2CE-9245-4CD7-8A80-9FAFDBD9BFE7}"/>
  <tableColumns count="2">
    <tableColumn id="1" xr3:uid="{4C9D7A59-96E5-4374-B685-F3498C48B0D0}" name="Yes/No"/>
    <tableColumn id="2" xr3:uid="{B36499B7-F3CB-43CA-8FA4-AF07913589B6}" name="38. Do you measure/process _x000a_CO₂ emissions separately for: (a) process (calcination) and (b) combustion? "/>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A6AF47-8D8F-4A8B-8A3B-698780A66351}" name="Table101213" displayName="Table101213" ref="E153:F155" totalsRowShown="0">
  <autoFilter ref="E153:F155" xr:uid="{BFA6AF47-8D8F-4A8B-8A3B-698780A66351}"/>
  <tableColumns count="2">
    <tableColumn id="1" xr3:uid="{4F6ADE91-486A-4933-BEAF-D7B808F69E2C}" name="Yes/No"/>
    <tableColumn id="2" xr3:uid="{A286D889-B859-4A25-A363-00C7DA0A5B91}" name="63. Does the plant maintain_x000a_ a budget or roadmap for decarbonization? "/>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ureshkumar.patel9@adani.com" TargetMode="External"/><Relationship Id="rId3" Type="http://schemas.openxmlformats.org/officeDocument/2006/relationships/hyperlink" Target="mailto:sumitabh.dwivedi@prismjohnson.in" TargetMode="External"/><Relationship Id="rId7" Type="http://schemas.openxmlformats.org/officeDocument/2006/relationships/hyperlink" Target="mailto:ashokkumar.tiwari@heidelbergcement.in" TargetMode="External"/><Relationship Id="rId2" Type="http://schemas.openxmlformats.org/officeDocument/2006/relationships/hyperlink" Target="mailto:sumitabh.dwivedi@prismjohnson.in" TargetMode="External"/><Relationship Id="rId1" Type="http://schemas.openxmlformats.org/officeDocument/2006/relationships/hyperlink" Target="mailto:saurabh.yadav1@jkcement.com" TargetMode="External"/><Relationship Id="rId6" Type="http://schemas.openxmlformats.org/officeDocument/2006/relationships/hyperlink" Target="mailto:utcl-Dhar.cpcb@adityabirla.com" TargetMode="External"/><Relationship Id="rId11" Type="http://schemas.openxmlformats.org/officeDocument/2006/relationships/comments" Target="../comments1.xml"/><Relationship Id="rId5" Type="http://schemas.openxmlformats.org/officeDocument/2006/relationships/hyperlink" Target="mailto:mcw.env@adityabirla.com" TargetMode="External"/><Relationship Id="rId10" Type="http://schemas.openxmlformats.org/officeDocument/2006/relationships/vmlDrawing" Target="../drawings/vmlDrawing1.vml"/><Relationship Id="rId4" Type="http://schemas.openxmlformats.org/officeDocument/2006/relationships/hyperlink" Target="mailto:utcl-bcw.cpcb@adityabirla.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3" Type="http://schemas.openxmlformats.org/officeDocument/2006/relationships/vmlDrawing" Target="../drawings/vmlDrawing2.vml"/><Relationship Id="rId7" Type="http://schemas.openxmlformats.org/officeDocument/2006/relationships/table" Target="../tables/table4.xml"/><Relationship Id="rId12" Type="http://schemas.openxmlformats.org/officeDocument/2006/relationships/table" Target="../tables/table9.xml"/><Relationship Id="rId2" Type="http://schemas.openxmlformats.org/officeDocument/2006/relationships/drawing" Target="../drawings/drawing2.xml"/><Relationship Id="rId16" Type="http://schemas.openxmlformats.org/officeDocument/2006/relationships/comments" Target="../comments2.xml"/><Relationship Id="rId1" Type="http://schemas.openxmlformats.org/officeDocument/2006/relationships/printerSettings" Target="../printerSettings/printerSettings2.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M3251"/>
  <sheetViews>
    <sheetView tabSelected="1" zoomScale="58" zoomScaleNormal="40" workbookViewId="0">
      <pane ySplit="1" topLeftCell="A2" activePane="bottomLeft" state="frozen"/>
      <selection activeCell="AG1" sqref="AG1"/>
      <selection pane="bottomLeft" activeCell="E3" sqref="E3"/>
    </sheetView>
  </sheetViews>
  <sheetFormatPr defaultColWidth="8.7265625" defaultRowHeight="14.5" x14ac:dyDescent="0.35"/>
  <cols>
    <col min="1" max="1" width="8.7265625" style="4"/>
    <col min="2" max="2" width="33.54296875" style="4" customWidth="1"/>
    <col min="3" max="3" width="21.81640625" style="4" bestFit="1" customWidth="1"/>
    <col min="4" max="4" width="22.1796875" style="4" customWidth="1"/>
    <col min="5" max="5" width="53.54296875" style="4" bestFit="1" customWidth="1"/>
    <col min="6" max="6" width="11.453125" style="4" bestFit="1" customWidth="1"/>
    <col min="7" max="7" width="32.54296875" style="4" customWidth="1"/>
    <col min="8" max="8" width="15.453125" style="4" customWidth="1"/>
    <col min="9" max="9" width="20.81640625" style="4" customWidth="1"/>
    <col min="10" max="11" width="13.81640625" style="4" customWidth="1"/>
    <col min="12" max="12" width="12.81640625" style="4" customWidth="1"/>
    <col min="13" max="13" width="13.453125" style="4" customWidth="1"/>
    <col min="14" max="14" width="15.453125" style="4" customWidth="1"/>
    <col min="15" max="15" width="14.26953125" style="4" customWidth="1"/>
    <col min="16" max="16" width="23.1796875" style="4" customWidth="1"/>
    <col min="17" max="17" width="64" style="4" customWidth="1"/>
    <col min="18" max="18" width="213.81640625" style="4" customWidth="1"/>
    <col min="19" max="19" width="22.81640625" style="4" customWidth="1"/>
    <col min="20" max="20" width="31.81640625" style="4" customWidth="1"/>
    <col min="21" max="21" width="21.26953125" style="4" customWidth="1"/>
    <col min="22" max="22" width="20" style="4" customWidth="1"/>
    <col min="23" max="23" width="22.54296875" style="4" customWidth="1"/>
    <col min="24" max="24" width="19.1796875" style="4" customWidth="1"/>
    <col min="25" max="25" width="23" style="8" customWidth="1"/>
    <col min="26" max="26" width="23.81640625" style="8" customWidth="1"/>
    <col min="27" max="27" width="22.54296875" style="8" customWidth="1"/>
    <col min="28" max="28" width="47.1796875" style="4" customWidth="1"/>
    <col min="29" max="29" width="23.453125" style="4" customWidth="1"/>
    <col min="30" max="30" width="22.26953125" style="4" customWidth="1"/>
    <col min="31" max="31" width="19.1796875" style="8" customWidth="1"/>
    <col min="32" max="32" width="18.453125" style="4" customWidth="1"/>
    <col min="33" max="33" width="12.81640625" style="4" customWidth="1"/>
    <col min="34" max="34" width="14.1796875" style="4" customWidth="1"/>
    <col min="35" max="35" width="128.453125" style="4" bestFit="1" customWidth="1"/>
    <col min="36" max="36" width="31.81640625" style="8" customWidth="1"/>
    <col min="37" max="37" width="36" style="4" customWidth="1"/>
    <col min="38" max="38" width="21.7265625" style="4" customWidth="1"/>
    <col min="39" max="39" width="25.54296875" style="4" customWidth="1"/>
    <col min="40" max="40" width="36" style="4" customWidth="1"/>
    <col min="41" max="41" width="25.54296875" style="8" customWidth="1"/>
    <col min="42" max="42" width="22.7265625" style="4" customWidth="1"/>
    <col min="43" max="43" width="32.7265625" style="4" customWidth="1"/>
    <col min="44" max="44" width="22" style="4" customWidth="1"/>
    <col min="45" max="45" width="21.1796875" style="8" customWidth="1"/>
    <col min="46" max="46" width="34.54296875" style="4" customWidth="1"/>
    <col min="47" max="47" width="27" style="4" customWidth="1"/>
    <col min="48" max="48" width="15.81640625" style="4" customWidth="1"/>
    <col min="49" max="49" width="29.81640625" style="4" customWidth="1"/>
    <col min="50" max="50" width="34.7265625" style="4" customWidth="1"/>
    <col min="51" max="51" width="28.81640625" style="4" customWidth="1"/>
    <col min="52" max="52" width="30.54296875" style="4" customWidth="1"/>
    <col min="53" max="53" width="25.54296875" style="4" customWidth="1"/>
    <col min="54" max="54" width="16.7265625" style="4" customWidth="1"/>
    <col min="55" max="55" width="16.453125" style="4" customWidth="1"/>
    <col min="56" max="56" width="19.54296875" style="4" customWidth="1"/>
    <col min="57" max="58" width="42.1796875" style="4" customWidth="1"/>
    <col min="59" max="59" width="23.54296875" style="4" customWidth="1"/>
    <col min="60" max="60" width="23.81640625" style="4" customWidth="1"/>
    <col min="61" max="61" width="31.1796875" style="4" customWidth="1"/>
    <col min="62" max="62" width="17.1796875" style="8" customWidth="1"/>
    <col min="63" max="63" width="19.1796875" style="8" customWidth="1"/>
    <col min="64" max="64" width="17" style="8" customWidth="1"/>
    <col min="65" max="65" width="20.453125" style="8" customWidth="1"/>
    <col min="66" max="66" width="9.81640625" style="8" customWidth="1"/>
    <col min="67" max="67" width="38.453125" style="4" customWidth="1"/>
    <col min="68" max="68" width="22.1796875" style="4" customWidth="1"/>
    <col min="69" max="69" width="20.81640625" style="4" customWidth="1"/>
    <col min="70" max="70" width="17.81640625" style="4" customWidth="1"/>
    <col min="71" max="71" width="16.1796875" style="4" customWidth="1"/>
    <col min="72" max="72" width="18.1796875" style="4" customWidth="1"/>
    <col min="73" max="73" width="22.81640625" style="8" customWidth="1"/>
    <col min="74" max="74" width="21.54296875" style="8" customWidth="1"/>
    <col min="75" max="75" width="29.1796875" style="4" customWidth="1"/>
    <col min="76" max="76" width="21.81640625" style="4" customWidth="1"/>
    <col min="77" max="77" width="28.1796875" style="4" customWidth="1"/>
    <col min="78" max="78" width="33.453125" style="8" customWidth="1"/>
    <col min="79" max="79" width="32" style="4" customWidth="1"/>
    <col min="80" max="80" width="64.453125" style="4" bestFit="1" customWidth="1"/>
    <col min="81" max="81" width="36" style="4" customWidth="1"/>
    <col min="82" max="82" width="18.26953125" style="4" customWidth="1"/>
    <col min="83" max="83" width="21.1796875" style="4" customWidth="1"/>
    <col min="84" max="84" width="16.54296875" style="4" customWidth="1"/>
    <col min="85" max="85" width="25.81640625" style="4" customWidth="1"/>
    <col min="86" max="86" width="18.81640625" style="4" customWidth="1"/>
    <col min="87" max="87" width="35.26953125" style="4" customWidth="1"/>
    <col min="88" max="88" width="15.453125" style="4" customWidth="1"/>
    <col min="89" max="89" width="38.1796875" style="4" customWidth="1"/>
    <col min="90" max="90" width="23.453125" style="4" customWidth="1"/>
    <col min="91" max="91" width="31.54296875" style="4" customWidth="1"/>
    <col min="92" max="92" width="23.453125" style="4" customWidth="1"/>
    <col min="93" max="93" width="24.1796875" style="4" customWidth="1"/>
    <col min="94" max="94" width="26.453125" style="4" customWidth="1"/>
    <col min="95" max="95" width="26.453125" style="8" customWidth="1"/>
    <col min="96" max="96" width="16.453125" style="4" customWidth="1"/>
    <col min="97" max="97" width="17.54296875" style="4" customWidth="1"/>
    <col min="98" max="98" width="20.453125" style="4" customWidth="1"/>
    <col min="99" max="99" width="23.1796875" style="4" customWidth="1"/>
    <col min="100" max="100" width="19.7265625" style="4" customWidth="1"/>
    <col min="101" max="101" width="25.81640625" style="4" customWidth="1"/>
    <col min="102" max="102" width="23.1796875" style="8" customWidth="1"/>
    <col min="103" max="103" width="16.54296875" style="4" customWidth="1"/>
    <col min="104" max="104" width="21.1796875" style="4" customWidth="1"/>
    <col min="105" max="105" width="14.1796875" style="4" customWidth="1"/>
    <col min="106" max="106" width="22.453125" style="4" customWidth="1"/>
    <col min="107" max="107" width="57.54296875" style="4" customWidth="1"/>
    <col min="108" max="108" width="23.26953125" style="8" customWidth="1"/>
    <col min="109" max="109" width="24.7265625" style="8" customWidth="1"/>
    <col min="110" max="110" width="23.26953125" style="4" customWidth="1"/>
    <col min="111" max="111" width="19.453125" style="8" customWidth="1"/>
    <col min="112" max="112" width="20.1796875" style="4" customWidth="1"/>
    <col min="113" max="113" width="17.26953125" style="8" customWidth="1"/>
    <col min="114" max="114" width="43.54296875" style="8" customWidth="1"/>
    <col min="115" max="115" width="78.7265625" style="4" customWidth="1"/>
    <col min="116" max="116" width="48.81640625" style="8" customWidth="1"/>
    <col min="117" max="117" width="41.81640625" style="4" customWidth="1"/>
    <col min="118" max="118" width="24.7265625" style="4" customWidth="1"/>
    <col min="119" max="119" width="34.453125" style="4" customWidth="1"/>
    <col min="120" max="120" width="26.81640625" style="8" customWidth="1"/>
    <col min="121" max="121" width="35.1796875" style="4" customWidth="1"/>
    <col min="122" max="122" width="30.81640625" style="4" customWidth="1"/>
    <col min="123" max="123" width="35.1796875" style="4" customWidth="1"/>
    <col min="124" max="124" width="18.7265625" style="4" customWidth="1"/>
    <col min="125" max="125" width="14.7265625" style="4" customWidth="1"/>
    <col min="126" max="128" width="8.7265625" style="4"/>
    <col min="129" max="129" width="25.81640625" style="4" customWidth="1"/>
    <col min="130" max="131" width="27.1796875" style="4" customWidth="1"/>
    <col min="132" max="16384" width="8.7265625" style="4"/>
  </cols>
  <sheetData>
    <row r="1" spans="1:195" s="121" customFormat="1" ht="87" customHeight="1" thickBot="1" x14ac:dyDescent="0.4">
      <c r="A1" s="116" t="s">
        <v>0</v>
      </c>
      <c r="B1" s="117" t="s">
        <v>1</v>
      </c>
      <c r="C1" s="118" t="s">
        <v>2</v>
      </c>
      <c r="D1" s="118" t="s">
        <v>3</v>
      </c>
      <c r="E1" s="118" t="s">
        <v>4</v>
      </c>
      <c r="F1" s="118" t="s">
        <v>5</v>
      </c>
      <c r="G1" s="118" t="s">
        <v>6</v>
      </c>
      <c r="H1" s="118" t="s">
        <v>7</v>
      </c>
      <c r="I1" s="118" t="s">
        <v>8</v>
      </c>
      <c r="J1" s="123" t="s">
        <v>9</v>
      </c>
      <c r="K1" s="123"/>
      <c r="L1" s="123"/>
      <c r="M1" s="123" t="s">
        <v>10</v>
      </c>
      <c r="N1" s="123"/>
      <c r="O1" s="123"/>
      <c r="P1" s="118" t="s">
        <v>11</v>
      </c>
      <c r="Q1" s="118" t="s">
        <v>12</v>
      </c>
      <c r="R1" s="123" t="s">
        <v>13</v>
      </c>
      <c r="S1" s="123"/>
      <c r="T1" s="123"/>
      <c r="U1" s="123"/>
      <c r="V1" s="123"/>
      <c r="W1" s="123"/>
      <c r="X1" s="118" t="s">
        <v>14</v>
      </c>
      <c r="Y1" s="119" t="s">
        <v>15</v>
      </c>
      <c r="Z1" s="123" t="s">
        <v>16</v>
      </c>
      <c r="AA1" s="123"/>
      <c r="AB1" s="119" t="s">
        <v>17</v>
      </c>
      <c r="AC1" s="118" t="s">
        <v>18</v>
      </c>
      <c r="AD1" s="118" t="s">
        <v>19</v>
      </c>
      <c r="AE1" s="123" t="s">
        <v>20</v>
      </c>
      <c r="AF1" s="123"/>
      <c r="AG1" s="123"/>
      <c r="AH1" s="123"/>
      <c r="AI1" s="123"/>
      <c r="AJ1" s="118" t="s">
        <v>21</v>
      </c>
      <c r="AK1" s="119" t="s">
        <v>22</v>
      </c>
      <c r="AL1" s="123" t="s">
        <v>23</v>
      </c>
      <c r="AM1" s="123"/>
      <c r="AN1" s="118" t="s">
        <v>24</v>
      </c>
      <c r="AO1" s="118" t="s">
        <v>25</v>
      </c>
      <c r="AP1" s="119" t="s">
        <v>26</v>
      </c>
      <c r="AQ1" s="124" t="s">
        <v>27</v>
      </c>
      <c r="AR1" s="124"/>
      <c r="AS1" s="124"/>
      <c r="AT1" s="118" t="s">
        <v>28</v>
      </c>
      <c r="AU1" s="123" t="s">
        <v>29</v>
      </c>
      <c r="AV1" s="123"/>
      <c r="AW1" s="123" t="s">
        <v>30</v>
      </c>
      <c r="AX1" s="123"/>
      <c r="AY1" s="123"/>
      <c r="AZ1" s="119" t="s">
        <v>31</v>
      </c>
      <c r="BA1" s="123" t="s">
        <v>32</v>
      </c>
      <c r="BB1" s="123"/>
      <c r="BC1" s="123"/>
      <c r="BD1" s="123"/>
      <c r="BE1" s="119" t="s">
        <v>33</v>
      </c>
      <c r="BF1" s="118" t="s">
        <v>34</v>
      </c>
      <c r="BG1" s="118" t="s">
        <v>35</v>
      </c>
      <c r="BH1" s="123" t="s">
        <v>36</v>
      </c>
      <c r="BI1" s="123"/>
      <c r="BJ1" s="123" t="s">
        <v>37</v>
      </c>
      <c r="BK1" s="123"/>
      <c r="BL1" s="123"/>
      <c r="BM1" s="123"/>
      <c r="BN1" s="123"/>
      <c r="BO1" s="118" t="s">
        <v>38</v>
      </c>
      <c r="BP1" s="119" t="s">
        <v>39</v>
      </c>
      <c r="BQ1" s="123" t="s">
        <v>40</v>
      </c>
      <c r="BR1" s="123"/>
      <c r="BS1" s="123"/>
      <c r="BT1" s="123"/>
      <c r="BU1" s="123"/>
      <c r="BV1" s="118" t="s">
        <v>41</v>
      </c>
      <c r="BW1" s="119" t="s">
        <v>42</v>
      </c>
      <c r="BX1" s="118" t="s">
        <v>43</v>
      </c>
      <c r="BY1" s="119" t="s">
        <v>44</v>
      </c>
      <c r="BZ1" s="118" t="s">
        <v>45</v>
      </c>
      <c r="CA1" s="123" t="s">
        <v>46</v>
      </c>
      <c r="CB1" s="123"/>
      <c r="CC1" s="119" t="s">
        <v>47</v>
      </c>
      <c r="CD1" s="118" t="s">
        <v>48</v>
      </c>
      <c r="CE1" s="118" t="s">
        <v>49</v>
      </c>
      <c r="CF1" s="119" t="s">
        <v>50</v>
      </c>
      <c r="CG1" s="118" t="s">
        <v>51</v>
      </c>
      <c r="CH1" s="119" t="s">
        <v>52</v>
      </c>
      <c r="CI1" s="118" t="s">
        <v>53</v>
      </c>
      <c r="CJ1" s="118" t="s">
        <v>54</v>
      </c>
      <c r="CK1" s="118" t="s">
        <v>55</v>
      </c>
      <c r="CL1" s="119" t="s">
        <v>56</v>
      </c>
      <c r="CM1" s="118" t="s">
        <v>57</v>
      </c>
      <c r="CN1" s="119" t="s">
        <v>58</v>
      </c>
      <c r="CO1" s="118" t="s">
        <v>59</v>
      </c>
      <c r="CP1" s="119" t="s">
        <v>60</v>
      </c>
      <c r="CQ1" s="123" t="s">
        <v>61</v>
      </c>
      <c r="CR1" s="123"/>
      <c r="CS1" s="123"/>
      <c r="CT1" s="119" t="s">
        <v>62</v>
      </c>
      <c r="CU1" s="118" t="s">
        <v>63</v>
      </c>
      <c r="CV1" s="118" t="s">
        <v>64</v>
      </c>
      <c r="CW1" s="118" t="s">
        <v>65</v>
      </c>
      <c r="CX1" s="119" t="s">
        <v>66</v>
      </c>
      <c r="CY1" s="118" t="s">
        <v>67</v>
      </c>
      <c r="CZ1" s="123" t="s">
        <v>68</v>
      </c>
      <c r="DA1" s="123"/>
      <c r="DB1" s="119" t="s">
        <v>69</v>
      </c>
      <c r="DC1" s="118" t="s">
        <v>70</v>
      </c>
      <c r="DD1" s="119" t="s">
        <v>71</v>
      </c>
      <c r="DE1" s="118" t="s">
        <v>72</v>
      </c>
      <c r="DF1" s="119" t="s">
        <v>73</v>
      </c>
      <c r="DG1" s="118" t="s">
        <v>74</v>
      </c>
      <c r="DH1" s="119" t="s">
        <v>75</v>
      </c>
      <c r="DI1" s="118" t="s">
        <v>76</v>
      </c>
      <c r="DJ1" s="123" t="s">
        <v>77</v>
      </c>
      <c r="DK1" s="123"/>
      <c r="DL1" s="123" t="s">
        <v>78</v>
      </c>
      <c r="DM1" s="123"/>
      <c r="DN1" s="119" t="s">
        <v>79</v>
      </c>
      <c r="DO1" s="118" t="s">
        <v>80</v>
      </c>
      <c r="DP1" s="119" t="s">
        <v>81</v>
      </c>
      <c r="DQ1" s="118" t="s">
        <v>82</v>
      </c>
      <c r="DR1" s="118" t="s">
        <v>83</v>
      </c>
      <c r="DS1" s="118" t="s">
        <v>84</v>
      </c>
      <c r="DT1" s="118" t="s">
        <v>85</v>
      </c>
      <c r="DU1" s="118" t="s">
        <v>86</v>
      </c>
      <c r="DV1" s="118" t="s">
        <v>87</v>
      </c>
      <c r="DW1" s="118" t="s">
        <v>88</v>
      </c>
      <c r="DX1" s="118" t="s">
        <v>89</v>
      </c>
      <c r="DY1" s="118" t="s">
        <v>90</v>
      </c>
      <c r="DZ1" s="118" t="s">
        <v>91</v>
      </c>
      <c r="EA1" s="118" t="s">
        <v>92</v>
      </c>
      <c r="EB1" s="118" t="s">
        <v>93</v>
      </c>
      <c r="EC1" s="120"/>
      <c r="ED1" s="120"/>
      <c r="EE1" s="120"/>
      <c r="EF1" s="120"/>
      <c r="EG1" s="120"/>
      <c r="EH1" s="120"/>
      <c r="EI1" s="120"/>
      <c r="EJ1" s="120"/>
      <c r="EK1" s="120"/>
      <c r="EL1" s="120"/>
      <c r="EM1" s="120"/>
      <c r="EN1" s="120"/>
      <c r="EO1" s="120"/>
      <c r="EP1" s="120"/>
      <c r="EQ1" s="120"/>
      <c r="ER1" s="120"/>
      <c r="ES1" s="120"/>
      <c r="ET1" s="120"/>
      <c r="EU1" s="120"/>
      <c r="EV1" s="120"/>
      <c r="EW1" s="120"/>
      <c r="EX1" s="120"/>
      <c r="EY1" s="120"/>
      <c r="EZ1" s="120"/>
      <c r="FA1" s="120"/>
      <c r="FB1" s="120"/>
      <c r="FC1" s="120"/>
      <c r="FD1" s="120"/>
      <c r="FE1" s="120"/>
      <c r="FF1" s="120"/>
      <c r="FG1" s="120"/>
      <c r="FH1" s="120"/>
      <c r="FI1" s="120"/>
      <c r="FJ1" s="120"/>
      <c r="FK1" s="120"/>
      <c r="FL1" s="120"/>
      <c r="FM1" s="120"/>
      <c r="FN1" s="120"/>
      <c r="FO1" s="120"/>
      <c r="FP1" s="120"/>
      <c r="FQ1" s="120"/>
      <c r="FR1" s="120"/>
      <c r="FS1" s="120"/>
      <c r="FT1" s="120"/>
      <c r="FU1" s="120"/>
      <c r="FV1" s="120"/>
      <c r="FW1" s="120"/>
      <c r="FX1" s="120"/>
      <c r="FY1" s="120"/>
      <c r="FZ1" s="120"/>
      <c r="GA1" s="120"/>
      <c r="GB1" s="120"/>
      <c r="GC1" s="120"/>
      <c r="GD1" s="120"/>
      <c r="GE1" s="120"/>
      <c r="GF1" s="120"/>
      <c r="GG1" s="120"/>
      <c r="GH1" s="120"/>
      <c r="GI1" s="120"/>
      <c r="GJ1" s="120"/>
      <c r="GK1" s="120"/>
      <c r="GL1" s="120"/>
      <c r="GM1" s="120"/>
    </row>
    <row r="2" spans="1:195" s="96" customFormat="1" ht="44.15" customHeight="1" thickBot="1" x14ac:dyDescent="0.4">
      <c r="A2" s="11" t="s">
        <v>94</v>
      </c>
      <c r="B2" s="86" t="s">
        <v>95</v>
      </c>
      <c r="C2" s="87" t="s">
        <v>96</v>
      </c>
      <c r="D2" s="88" t="s">
        <v>97</v>
      </c>
      <c r="E2" s="89"/>
      <c r="F2" s="89"/>
      <c r="G2" s="89"/>
      <c r="H2" s="89"/>
      <c r="I2" s="89"/>
      <c r="J2" s="90" t="s">
        <v>98</v>
      </c>
      <c r="K2" s="91" t="s">
        <v>99</v>
      </c>
      <c r="L2" s="92" t="s">
        <v>100</v>
      </c>
      <c r="M2" s="90" t="s">
        <v>98</v>
      </c>
      <c r="N2" s="91" t="s">
        <v>99</v>
      </c>
      <c r="O2" s="92" t="s">
        <v>100</v>
      </c>
      <c r="P2" s="89"/>
      <c r="Q2" s="89"/>
      <c r="R2" s="93" t="s">
        <v>101</v>
      </c>
      <c r="S2" s="94" t="s">
        <v>102</v>
      </c>
      <c r="T2" s="94" t="s">
        <v>103</v>
      </c>
      <c r="U2" s="94" t="s">
        <v>104</v>
      </c>
      <c r="V2" s="94" t="s">
        <v>105</v>
      </c>
      <c r="W2" s="95" t="s">
        <v>106</v>
      </c>
      <c r="X2" s="89"/>
      <c r="Y2" s="89"/>
      <c r="Z2" s="93" t="s">
        <v>107</v>
      </c>
      <c r="AA2" s="95" t="s">
        <v>108</v>
      </c>
      <c r="AB2" s="89"/>
      <c r="AC2" s="89"/>
      <c r="AD2" s="89"/>
      <c r="AE2" s="93" t="s">
        <v>109</v>
      </c>
      <c r="AF2" s="94" t="s">
        <v>110</v>
      </c>
      <c r="AG2" s="94" t="s">
        <v>111</v>
      </c>
      <c r="AH2" s="94" t="s">
        <v>112</v>
      </c>
      <c r="AI2" s="95" t="s">
        <v>113</v>
      </c>
      <c r="AJ2" s="89"/>
      <c r="AK2" s="89"/>
      <c r="AL2" s="93" t="s">
        <v>107</v>
      </c>
      <c r="AM2" s="95" t="s">
        <v>114</v>
      </c>
      <c r="AN2" s="89"/>
      <c r="AO2" s="89"/>
      <c r="AP2" s="89"/>
      <c r="AQ2" s="93" t="s">
        <v>107</v>
      </c>
      <c r="AR2" s="94" t="s">
        <v>115</v>
      </c>
      <c r="AS2" s="95" t="s">
        <v>116</v>
      </c>
      <c r="AT2" s="89"/>
      <c r="AU2" s="93" t="s">
        <v>117</v>
      </c>
      <c r="AV2" s="95" t="s">
        <v>118</v>
      </c>
      <c r="AW2" s="93" t="s">
        <v>119</v>
      </c>
      <c r="AX2" s="94" t="s">
        <v>99</v>
      </c>
      <c r="AY2" s="95" t="s">
        <v>100</v>
      </c>
      <c r="AZ2" s="89"/>
      <c r="BA2" s="93" t="s">
        <v>120</v>
      </c>
      <c r="BB2" s="94" t="s">
        <v>98</v>
      </c>
      <c r="BC2" s="94" t="s">
        <v>99</v>
      </c>
      <c r="BD2" s="95" t="s">
        <v>100</v>
      </c>
      <c r="BE2" s="89"/>
      <c r="BF2" s="89"/>
      <c r="BG2" s="89"/>
      <c r="BH2" s="93" t="s">
        <v>121</v>
      </c>
      <c r="BI2" s="95" t="s">
        <v>122</v>
      </c>
      <c r="BJ2" s="93" t="s">
        <v>123</v>
      </c>
      <c r="BK2" s="94" t="s">
        <v>124</v>
      </c>
      <c r="BL2" s="94" t="s">
        <v>125</v>
      </c>
      <c r="BM2" s="94" t="s">
        <v>126</v>
      </c>
      <c r="BN2" s="95" t="s">
        <v>113</v>
      </c>
      <c r="BO2" s="89"/>
      <c r="BP2" s="89"/>
      <c r="BQ2" s="93" t="s">
        <v>127</v>
      </c>
      <c r="BR2" s="94" t="s">
        <v>128</v>
      </c>
      <c r="BS2" s="94" t="s">
        <v>114</v>
      </c>
      <c r="BT2" s="94" t="s">
        <v>129</v>
      </c>
      <c r="BU2" s="95" t="s">
        <v>130</v>
      </c>
      <c r="BV2" s="89"/>
      <c r="BW2" s="89"/>
      <c r="BX2" s="89"/>
      <c r="BY2" s="89"/>
      <c r="BZ2" s="89"/>
      <c r="CA2" s="93" t="s">
        <v>131</v>
      </c>
      <c r="CB2" s="95" t="s">
        <v>132</v>
      </c>
      <c r="CC2" s="89"/>
      <c r="CD2" s="89"/>
      <c r="CE2" s="89"/>
      <c r="CF2" s="89"/>
      <c r="CG2" s="89"/>
      <c r="CH2" s="89"/>
      <c r="CI2" s="89"/>
      <c r="CJ2" s="89"/>
      <c r="CK2" s="89"/>
      <c r="CL2" s="89"/>
      <c r="CM2" s="89"/>
      <c r="CN2" s="89"/>
      <c r="CO2" s="89"/>
      <c r="CP2" s="89"/>
      <c r="CQ2" s="93" t="s">
        <v>133</v>
      </c>
      <c r="CR2" s="94" t="s">
        <v>134</v>
      </c>
      <c r="CS2" s="95" t="s">
        <v>135</v>
      </c>
      <c r="CT2" s="89"/>
      <c r="CU2" s="89"/>
      <c r="CV2" s="89"/>
      <c r="CW2" s="89"/>
      <c r="CX2" s="89"/>
      <c r="CY2" s="89"/>
      <c r="CZ2" s="93" t="s">
        <v>136</v>
      </c>
      <c r="DA2" s="95" t="s">
        <v>137</v>
      </c>
      <c r="DB2" s="89"/>
      <c r="DC2" s="89"/>
      <c r="DD2" s="89"/>
      <c r="DE2" s="89"/>
      <c r="DF2" s="89"/>
      <c r="DG2" s="89"/>
      <c r="DH2" s="89"/>
      <c r="DI2" s="89"/>
      <c r="DJ2" s="93" t="s">
        <v>138</v>
      </c>
      <c r="DK2" s="95" t="s">
        <v>139</v>
      </c>
      <c r="DL2" s="93" t="s">
        <v>140</v>
      </c>
      <c r="DM2" s="95" t="s">
        <v>139</v>
      </c>
      <c r="DN2" s="89"/>
      <c r="DO2" s="89"/>
      <c r="DP2" s="89"/>
      <c r="DQ2" s="89"/>
      <c r="DT2" s="97"/>
    </row>
    <row r="3" spans="1:195" s="37" customFormat="1" ht="159.5" x14ac:dyDescent="0.35">
      <c r="A3" s="37">
        <v>1</v>
      </c>
      <c r="B3" s="37" t="s">
        <v>141</v>
      </c>
      <c r="C3" s="37" t="s">
        <v>142</v>
      </c>
      <c r="D3" s="37" t="s">
        <v>143</v>
      </c>
      <c r="E3" s="100"/>
      <c r="F3" s="37">
        <v>8359000293</v>
      </c>
      <c r="G3" s="37" t="s">
        <v>144</v>
      </c>
      <c r="H3" s="37">
        <v>2021</v>
      </c>
      <c r="I3" s="37">
        <v>1100000</v>
      </c>
      <c r="J3" s="100"/>
      <c r="K3" s="37">
        <v>726900</v>
      </c>
      <c r="L3" s="37">
        <v>755907</v>
      </c>
      <c r="M3" s="100"/>
      <c r="N3" s="37">
        <v>743110</v>
      </c>
      <c r="O3" s="37">
        <v>787999</v>
      </c>
      <c r="P3" s="37">
        <v>5236</v>
      </c>
      <c r="Q3" s="37" t="s">
        <v>145</v>
      </c>
      <c r="R3" s="37" t="s">
        <v>146</v>
      </c>
      <c r="S3" s="100"/>
      <c r="T3" s="100"/>
      <c r="U3" s="100"/>
      <c r="V3" s="37" t="s">
        <v>147</v>
      </c>
      <c r="W3" s="100"/>
      <c r="X3" s="37">
        <v>718</v>
      </c>
      <c r="Y3" s="37" t="s">
        <v>148</v>
      </c>
      <c r="Z3" s="37" t="s">
        <v>149</v>
      </c>
      <c r="AA3" s="37" t="s">
        <v>150</v>
      </c>
      <c r="AB3" s="37" t="s">
        <v>148</v>
      </c>
      <c r="AC3" s="101" t="s">
        <v>151</v>
      </c>
      <c r="AD3" s="37" t="s">
        <v>152</v>
      </c>
      <c r="AE3" s="101">
        <v>34540.381000000001</v>
      </c>
      <c r="AF3" s="100"/>
      <c r="AG3" s="100"/>
      <c r="AH3" s="100"/>
      <c r="AI3" s="37" t="s">
        <v>153</v>
      </c>
      <c r="AJ3" s="37">
        <v>72</v>
      </c>
      <c r="AK3" s="37" t="s">
        <v>148</v>
      </c>
      <c r="AL3" s="37" t="s">
        <v>154</v>
      </c>
      <c r="AM3" s="37">
        <v>5.3</v>
      </c>
      <c r="AN3" s="37" t="s">
        <v>155</v>
      </c>
      <c r="AO3" s="37" t="s">
        <v>156</v>
      </c>
      <c r="AP3" s="37" t="s">
        <v>148</v>
      </c>
      <c r="AQ3" s="37" t="s">
        <v>157</v>
      </c>
      <c r="AR3" s="37">
        <v>0.1</v>
      </c>
      <c r="AS3" s="100"/>
      <c r="AT3" s="102">
        <v>0.8</v>
      </c>
      <c r="AU3" s="37" t="s">
        <v>158</v>
      </c>
      <c r="AV3" s="37" t="s">
        <v>159</v>
      </c>
      <c r="AW3" s="100"/>
      <c r="AX3" s="103" t="s">
        <v>160</v>
      </c>
      <c r="AY3" s="103" t="s">
        <v>161</v>
      </c>
      <c r="AZ3" s="37" t="s">
        <v>148</v>
      </c>
      <c r="BA3" s="37" t="s">
        <v>162</v>
      </c>
      <c r="BB3" s="100"/>
      <c r="BC3" s="37" t="s">
        <v>163</v>
      </c>
      <c r="BD3" s="37" t="s">
        <v>164</v>
      </c>
      <c r="BE3" s="37" t="s">
        <v>148</v>
      </c>
      <c r="BF3" s="122" t="s">
        <v>165</v>
      </c>
      <c r="BG3" s="37" t="s">
        <v>148</v>
      </c>
      <c r="BH3" s="100"/>
      <c r="BI3" s="37">
        <v>2024</v>
      </c>
      <c r="BJ3" s="37" t="s">
        <v>148</v>
      </c>
      <c r="BK3" s="37" t="s">
        <v>148</v>
      </c>
      <c r="BL3" s="37" t="s">
        <v>166</v>
      </c>
      <c r="BM3" s="37" t="s">
        <v>148</v>
      </c>
      <c r="BN3" s="37" t="s">
        <v>148</v>
      </c>
      <c r="BO3" s="37" t="s">
        <v>167</v>
      </c>
      <c r="BP3" s="37" t="s">
        <v>148</v>
      </c>
      <c r="BQ3" s="37" t="s">
        <v>168</v>
      </c>
      <c r="BR3" s="37" t="s">
        <v>169</v>
      </c>
      <c r="BS3" s="37">
        <v>5.2</v>
      </c>
      <c r="BT3" s="37">
        <v>2022</v>
      </c>
      <c r="BU3" s="37">
        <v>16494.324000000001</v>
      </c>
      <c r="BV3" s="37">
        <v>50.26</v>
      </c>
      <c r="BW3" s="37" t="s">
        <v>148</v>
      </c>
      <c r="BX3" s="37" t="s">
        <v>170</v>
      </c>
      <c r="BY3" s="37" t="s">
        <v>148</v>
      </c>
      <c r="BZ3" s="37" t="s">
        <v>171</v>
      </c>
      <c r="CA3" s="122" t="s">
        <v>172</v>
      </c>
      <c r="CB3" s="37" t="s">
        <v>173</v>
      </c>
      <c r="CC3" s="37" t="s">
        <v>148</v>
      </c>
      <c r="CD3" s="37" t="s">
        <v>174</v>
      </c>
      <c r="CE3" s="37" t="s">
        <v>175</v>
      </c>
      <c r="CF3" s="37" t="s">
        <v>148</v>
      </c>
      <c r="CG3" s="37" t="s">
        <v>176</v>
      </c>
      <c r="CH3" s="37" t="s">
        <v>148</v>
      </c>
      <c r="CI3" s="37" t="s">
        <v>177</v>
      </c>
      <c r="CJ3" s="37" t="s">
        <v>166</v>
      </c>
      <c r="CK3" s="37" t="s">
        <v>178</v>
      </c>
      <c r="CL3" s="37" t="s">
        <v>166</v>
      </c>
      <c r="CM3" s="37" t="s">
        <v>178</v>
      </c>
      <c r="CN3" s="37" t="s">
        <v>148</v>
      </c>
      <c r="CO3" s="100"/>
      <c r="CP3" s="37" t="s">
        <v>148</v>
      </c>
      <c r="CQ3" s="37" t="s">
        <v>179</v>
      </c>
      <c r="CR3" s="104"/>
      <c r="CS3" s="104"/>
      <c r="CT3" s="37" t="s">
        <v>166</v>
      </c>
      <c r="CU3" s="37" t="s">
        <v>178</v>
      </c>
      <c r="CV3" s="100"/>
      <c r="CW3" s="37" t="s">
        <v>180</v>
      </c>
      <c r="CX3" s="100"/>
      <c r="CY3" s="100"/>
      <c r="CZ3" s="100"/>
      <c r="DA3" s="100"/>
      <c r="DB3" s="37" t="s">
        <v>148</v>
      </c>
      <c r="DC3" s="37" t="s">
        <v>181</v>
      </c>
      <c r="DD3" s="37" t="s">
        <v>148</v>
      </c>
      <c r="DE3" s="37" t="s">
        <v>182</v>
      </c>
      <c r="DF3" s="37" t="s">
        <v>166</v>
      </c>
      <c r="DG3" s="37" t="s">
        <v>178</v>
      </c>
      <c r="DH3" s="37" t="s">
        <v>148</v>
      </c>
      <c r="DI3" s="100"/>
      <c r="DJ3" s="37" t="s">
        <v>183</v>
      </c>
      <c r="DK3" s="37" t="s">
        <v>178</v>
      </c>
      <c r="DL3" s="37" t="s">
        <v>184</v>
      </c>
      <c r="DM3" s="37" t="s">
        <v>178</v>
      </c>
      <c r="DN3" s="37" t="s">
        <v>148</v>
      </c>
      <c r="DO3" s="37" t="s">
        <v>185</v>
      </c>
      <c r="DP3" s="37" t="s">
        <v>186</v>
      </c>
      <c r="DQ3" s="100"/>
      <c r="DR3" s="37">
        <v>662432621</v>
      </c>
      <c r="DS3" s="37" t="s">
        <v>187</v>
      </c>
      <c r="DT3" s="105">
        <v>46056.203865740739</v>
      </c>
      <c r="DW3" s="37" t="s">
        <v>188</v>
      </c>
      <c r="DY3" s="37" t="s">
        <v>189</v>
      </c>
      <c r="EA3" s="37" t="s">
        <v>190</v>
      </c>
      <c r="EB3" s="37">
        <v>1</v>
      </c>
    </row>
    <row r="4" spans="1:195" s="37" customFormat="1" ht="21.65" customHeight="1" x14ac:dyDescent="0.35">
      <c r="A4" s="37">
        <v>2</v>
      </c>
      <c r="B4" s="37" t="s">
        <v>191</v>
      </c>
      <c r="C4" s="37" t="s">
        <v>192</v>
      </c>
      <c r="D4" s="37" t="s">
        <v>193</v>
      </c>
      <c r="E4" s="37" t="s">
        <v>194</v>
      </c>
      <c r="F4" s="37">
        <v>9111018397</v>
      </c>
      <c r="G4" s="37" t="s">
        <v>195</v>
      </c>
      <c r="H4" s="37">
        <v>1985</v>
      </c>
      <c r="I4" s="37">
        <v>4000000</v>
      </c>
      <c r="J4" s="98">
        <v>3247162</v>
      </c>
      <c r="K4" s="98">
        <v>3068556</v>
      </c>
      <c r="L4" s="98">
        <v>2808487</v>
      </c>
      <c r="M4" s="98">
        <v>2900269</v>
      </c>
      <c r="N4" s="98">
        <v>2727483</v>
      </c>
      <c r="O4" s="98">
        <v>2424127</v>
      </c>
      <c r="P4" s="37">
        <v>7176</v>
      </c>
      <c r="Q4" s="37" t="s">
        <v>196</v>
      </c>
      <c r="R4" s="37" t="s">
        <v>197</v>
      </c>
      <c r="S4" s="100"/>
      <c r="T4" s="37" t="s">
        <v>198</v>
      </c>
      <c r="U4" s="100"/>
      <c r="V4" s="37" t="s">
        <v>199</v>
      </c>
      <c r="W4" s="100"/>
      <c r="X4" s="37">
        <v>698</v>
      </c>
      <c r="Y4" s="37" t="s">
        <v>148</v>
      </c>
      <c r="Z4" s="37" t="s">
        <v>200</v>
      </c>
      <c r="AA4" s="37" t="s">
        <v>201</v>
      </c>
      <c r="AB4" s="37" t="s">
        <v>148</v>
      </c>
      <c r="AC4" s="37" t="s">
        <v>202</v>
      </c>
      <c r="AD4" s="37">
        <v>1250</v>
      </c>
      <c r="AE4" s="37" t="s">
        <v>203</v>
      </c>
      <c r="AF4" s="37" t="s">
        <v>204</v>
      </c>
      <c r="AG4" s="100"/>
      <c r="AH4" s="100"/>
      <c r="AI4" s="37" t="s">
        <v>205</v>
      </c>
      <c r="AJ4" s="37">
        <v>40</v>
      </c>
      <c r="AK4" s="37" t="s">
        <v>148</v>
      </c>
      <c r="AL4" s="122" t="s">
        <v>206</v>
      </c>
      <c r="AM4" s="37" t="s">
        <v>207</v>
      </c>
      <c r="AN4" s="37" t="s">
        <v>155</v>
      </c>
      <c r="AO4" s="37" t="s">
        <v>208</v>
      </c>
      <c r="AP4" s="37" t="s">
        <v>148</v>
      </c>
      <c r="AQ4" s="37" t="s">
        <v>209</v>
      </c>
      <c r="AR4" s="122" t="s">
        <v>210</v>
      </c>
      <c r="AS4" s="37" t="s">
        <v>211</v>
      </c>
      <c r="AT4" s="102">
        <v>0.71040000000000003</v>
      </c>
      <c r="AU4" s="37" t="s">
        <v>212</v>
      </c>
      <c r="AV4" s="100"/>
      <c r="AW4" s="37" t="s">
        <v>213</v>
      </c>
      <c r="AX4" s="37" t="s">
        <v>214</v>
      </c>
      <c r="AY4" s="37" t="s">
        <v>215</v>
      </c>
      <c r="AZ4" s="37" t="s">
        <v>148</v>
      </c>
      <c r="BA4" s="37" t="s">
        <v>216</v>
      </c>
      <c r="BB4" s="37" t="s">
        <v>217</v>
      </c>
      <c r="BC4" s="37" t="s">
        <v>218</v>
      </c>
      <c r="BD4" s="37" t="s">
        <v>219</v>
      </c>
      <c r="BE4" s="37" t="s">
        <v>148</v>
      </c>
      <c r="BF4" s="122" t="s">
        <v>220</v>
      </c>
      <c r="BG4" s="37" t="s">
        <v>148</v>
      </c>
      <c r="BH4" s="100"/>
      <c r="BI4" s="37" t="s">
        <v>221</v>
      </c>
      <c r="BJ4" s="37" t="s">
        <v>166</v>
      </c>
      <c r="BK4" s="37" t="s">
        <v>166</v>
      </c>
      <c r="BL4" s="37" t="s">
        <v>166</v>
      </c>
      <c r="BM4" s="37" t="s">
        <v>166</v>
      </c>
      <c r="BN4" s="37" t="s">
        <v>148</v>
      </c>
      <c r="BO4" s="37" t="s">
        <v>222</v>
      </c>
      <c r="BP4" s="37" t="s">
        <v>148</v>
      </c>
      <c r="BQ4" s="37" t="s">
        <v>168</v>
      </c>
      <c r="BR4" s="37" t="s">
        <v>223</v>
      </c>
      <c r="BS4" s="37">
        <v>17</v>
      </c>
      <c r="BT4" s="37">
        <v>2025</v>
      </c>
      <c r="BU4" s="37">
        <v>6732</v>
      </c>
      <c r="BV4" s="37">
        <v>59.65</v>
      </c>
      <c r="BW4" s="37" t="s">
        <v>148</v>
      </c>
      <c r="BX4" s="106" t="s">
        <v>224</v>
      </c>
      <c r="BY4" s="37" t="s">
        <v>166</v>
      </c>
      <c r="BZ4" s="37" t="s">
        <v>178</v>
      </c>
      <c r="CA4" s="37" t="s">
        <v>225</v>
      </c>
      <c r="CB4" s="122" t="s">
        <v>226</v>
      </c>
      <c r="CC4" s="37" t="s">
        <v>166</v>
      </c>
      <c r="CD4" s="37" t="s">
        <v>178</v>
      </c>
      <c r="CE4" s="37" t="s">
        <v>175</v>
      </c>
      <c r="CF4" s="37" t="s">
        <v>166</v>
      </c>
      <c r="CG4" s="37" t="s">
        <v>227</v>
      </c>
      <c r="CH4" s="37" t="s">
        <v>166</v>
      </c>
      <c r="CI4" s="37" t="s">
        <v>178</v>
      </c>
      <c r="CJ4" s="37" t="s">
        <v>166</v>
      </c>
      <c r="CK4" s="37" t="s">
        <v>178</v>
      </c>
      <c r="CL4" s="37" t="s">
        <v>166</v>
      </c>
      <c r="CM4" s="37" t="s">
        <v>178</v>
      </c>
      <c r="CN4" s="37" t="s">
        <v>166</v>
      </c>
      <c r="CO4" s="37" t="s">
        <v>178</v>
      </c>
      <c r="CP4" s="37" t="s">
        <v>148</v>
      </c>
      <c r="CQ4" s="37" t="s">
        <v>228</v>
      </c>
      <c r="CR4" s="37" t="s">
        <v>229</v>
      </c>
      <c r="CS4" s="37">
        <v>1986</v>
      </c>
      <c r="CT4" s="37" t="s">
        <v>166</v>
      </c>
      <c r="CU4" s="37" t="s">
        <v>178</v>
      </c>
      <c r="CV4" s="37" t="s">
        <v>230</v>
      </c>
      <c r="CW4" s="37" t="s">
        <v>178</v>
      </c>
      <c r="CX4" s="37" t="s">
        <v>178</v>
      </c>
      <c r="CY4" s="37" t="s">
        <v>178</v>
      </c>
      <c r="CZ4" s="37" t="s">
        <v>168</v>
      </c>
      <c r="DA4" s="37">
        <v>250</v>
      </c>
      <c r="DB4" s="37" t="s">
        <v>166</v>
      </c>
      <c r="DC4" s="37" t="s">
        <v>231</v>
      </c>
      <c r="DD4" s="37" t="s">
        <v>166</v>
      </c>
      <c r="DE4" s="37" t="s">
        <v>178</v>
      </c>
      <c r="DF4" s="37" t="s">
        <v>148</v>
      </c>
      <c r="DG4" s="101" t="s">
        <v>232</v>
      </c>
      <c r="DH4" s="37" t="s">
        <v>148</v>
      </c>
      <c r="DI4" s="107" t="s">
        <v>233</v>
      </c>
      <c r="DJ4" s="37" t="s">
        <v>234</v>
      </c>
      <c r="DK4" s="37" t="s">
        <v>235</v>
      </c>
      <c r="DL4" s="100"/>
      <c r="DM4" s="37" t="s">
        <v>236</v>
      </c>
      <c r="DN4" s="37" t="s">
        <v>166</v>
      </c>
      <c r="DO4" s="37" t="s">
        <v>178</v>
      </c>
      <c r="DP4" s="37" t="s">
        <v>166</v>
      </c>
      <c r="DQ4" s="37" t="s">
        <v>178</v>
      </c>
      <c r="DR4" s="37">
        <v>662432657</v>
      </c>
      <c r="DS4" s="37" t="s">
        <v>237</v>
      </c>
      <c r="DT4" s="105">
        <v>46056.203993055547</v>
      </c>
      <c r="DW4" s="37" t="s">
        <v>188</v>
      </c>
      <c r="DY4" s="37" t="s">
        <v>189</v>
      </c>
      <c r="EA4" s="37" t="s">
        <v>238</v>
      </c>
      <c r="EB4" s="37">
        <v>2</v>
      </c>
    </row>
    <row r="5" spans="1:195" s="37" customFormat="1" ht="16" x14ac:dyDescent="0.35">
      <c r="A5" s="37">
        <v>3</v>
      </c>
      <c r="B5" s="37" t="s">
        <v>239</v>
      </c>
      <c r="C5" s="37" t="s">
        <v>240</v>
      </c>
      <c r="D5" s="37" t="s">
        <v>241</v>
      </c>
      <c r="E5" s="37" t="s">
        <v>242</v>
      </c>
      <c r="F5" s="37">
        <v>7247727859</v>
      </c>
      <c r="G5" s="37" t="s">
        <v>243</v>
      </c>
      <c r="H5" s="37">
        <v>2009</v>
      </c>
      <c r="I5" s="37">
        <v>300000</v>
      </c>
      <c r="J5" s="37">
        <v>2681469</v>
      </c>
      <c r="K5" s="37">
        <v>2755043</v>
      </c>
      <c r="L5" s="37">
        <v>2781839</v>
      </c>
      <c r="M5" s="37">
        <v>1812782</v>
      </c>
      <c r="N5" s="37">
        <v>1746744</v>
      </c>
      <c r="O5" s="37">
        <v>1589930</v>
      </c>
      <c r="P5" s="37">
        <v>7619.5349999999999</v>
      </c>
      <c r="Q5" s="37" t="s">
        <v>244</v>
      </c>
      <c r="R5" s="37" t="s">
        <v>245</v>
      </c>
      <c r="S5" s="100"/>
      <c r="T5" s="37" t="s">
        <v>246</v>
      </c>
      <c r="U5" s="100"/>
      <c r="V5" s="37" t="s">
        <v>247</v>
      </c>
      <c r="W5" s="100"/>
      <c r="X5" s="37">
        <v>706.03</v>
      </c>
      <c r="Y5" s="37" t="s">
        <v>148</v>
      </c>
      <c r="Z5" s="37" t="s">
        <v>248</v>
      </c>
      <c r="AA5" s="37" t="s">
        <v>249</v>
      </c>
      <c r="AB5" s="37" t="s">
        <v>148</v>
      </c>
      <c r="AC5" s="37" t="s">
        <v>202</v>
      </c>
      <c r="AD5" s="37" t="s">
        <v>250</v>
      </c>
      <c r="AE5" s="37" t="s">
        <v>251</v>
      </c>
      <c r="AF5" s="37" t="s">
        <v>252</v>
      </c>
      <c r="AG5" s="100"/>
      <c r="AH5" s="100"/>
      <c r="AI5" s="37" t="s">
        <v>253</v>
      </c>
      <c r="AJ5" s="37">
        <v>37.5</v>
      </c>
      <c r="AK5" s="37" t="s">
        <v>148</v>
      </c>
      <c r="AL5" s="37" t="s">
        <v>254</v>
      </c>
      <c r="AM5" s="37">
        <v>155</v>
      </c>
      <c r="AN5" s="37" t="s">
        <v>255</v>
      </c>
      <c r="AO5" s="37" t="s">
        <v>256</v>
      </c>
      <c r="AP5" s="37" t="s">
        <v>148</v>
      </c>
      <c r="AQ5" s="37" t="s">
        <v>257</v>
      </c>
      <c r="AR5" s="37">
        <v>6.25</v>
      </c>
      <c r="AS5" s="37">
        <v>10970000</v>
      </c>
      <c r="AT5" s="108">
        <v>0.63</v>
      </c>
      <c r="AU5" s="37" t="s">
        <v>258</v>
      </c>
      <c r="AV5" s="108">
        <v>0.35</v>
      </c>
      <c r="AW5" s="37" t="s">
        <v>259</v>
      </c>
      <c r="AX5" s="37" t="s">
        <v>260</v>
      </c>
      <c r="AY5" s="37" t="s">
        <v>261</v>
      </c>
      <c r="AZ5" s="37" t="s">
        <v>148</v>
      </c>
      <c r="BA5" s="37" t="s">
        <v>262</v>
      </c>
      <c r="BB5" s="37" t="s">
        <v>263</v>
      </c>
      <c r="BC5" s="37" t="s">
        <v>264</v>
      </c>
      <c r="BD5" s="37" t="s">
        <v>265</v>
      </c>
      <c r="BE5" s="37" t="s">
        <v>148</v>
      </c>
      <c r="BF5" s="37" t="s">
        <v>266</v>
      </c>
      <c r="BG5" s="37" t="s">
        <v>148</v>
      </c>
      <c r="BH5" s="100"/>
      <c r="BI5" s="37">
        <v>2025</v>
      </c>
      <c r="BJ5" s="37" t="s">
        <v>166</v>
      </c>
      <c r="BK5" s="37" t="s">
        <v>166</v>
      </c>
      <c r="BL5" s="37" t="s">
        <v>166</v>
      </c>
      <c r="BM5" s="37" t="s">
        <v>166</v>
      </c>
      <c r="BN5" s="37" t="s">
        <v>148</v>
      </c>
      <c r="BO5" s="37" t="s">
        <v>267</v>
      </c>
      <c r="BP5" s="37" t="s">
        <v>166</v>
      </c>
      <c r="BQ5" s="37" t="s">
        <v>178</v>
      </c>
      <c r="BR5" s="37" t="s">
        <v>178</v>
      </c>
      <c r="BS5" s="37" t="s">
        <v>178</v>
      </c>
      <c r="BT5" s="37" t="s">
        <v>178</v>
      </c>
      <c r="BU5" s="37" t="s">
        <v>178</v>
      </c>
      <c r="BV5" s="37">
        <v>61.87</v>
      </c>
      <c r="BW5" s="37" t="s">
        <v>148</v>
      </c>
      <c r="BX5" s="37" t="s">
        <v>268</v>
      </c>
      <c r="BY5" s="37" t="s">
        <v>148</v>
      </c>
      <c r="BZ5" s="109" t="s">
        <v>269</v>
      </c>
      <c r="CA5" s="37" t="s">
        <v>270</v>
      </c>
      <c r="CB5" s="37">
        <v>654</v>
      </c>
      <c r="CC5" s="37" t="s">
        <v>166</v>
      </c>
      <c r="CD5" s="37" t="s">
        <v>178</v>
      </c>
      <c r="CE5" s="37" t="s">
        <v>271</v>
      </c>
      <c r="CF5" s="37" t="s">
        <v>166</v>
      </c>
      <c r="CG5" s="37" t="s">
        <v>227</v>
      </c>
      <c r="CH5" s="37" t="s">
        <v>166</v>
      </c>
      <c r="CI5" s="37" t="s">
        <v>178</v>
      </c>
      <c r="CJ5" s="37" t="s">
        <v>166</v>
      </c>
      <c r="CK5" s="37" t="s">
        <v>178</v>
      </c>
      <c r="CL5" s="37" t="s">
        <v>166</v>
      </c>
      <c r="CM5" s="37" t="s">
        <v>178</v>
      </c>
      <c r="CN5" s="37" t="s">
        <v>166</v>
      </c>
      <c r="CO5" s="37" t="s">
        <v>178</v>
      </c>
      <c r="CP5" s="37" t="s">
        <v>148</v>
      </c>
      <c r="CQ5" s="37" t="s">
        <v>272</v>
      </c>
      <c r="CR5" s="37" t="s">
        <v>273</v>
      </c>
      <c r="CS5" s="37">
        <v>2010</v>
      </c>
      <c r="CT5" s="37" t="s">
        <v>166</v>
      </c>
      <c r="CU5" s="37" t="s">
        <v>178</v>
      </c>
      <c r="CV5" s="37" t="s">
        <v>274</v>
      </c>
      <c r="CW5" s="37" t="s">
        <v>178</v>
      </c>
      <c r="CX5" s="37" t="s">
        <v>178</v>
      </c>
      <c r="CY5" s="37" t="s">
        <v>178</v>
      </c>
      <c r="CZ5" s="37" t="s">
        <v>178</v>
      </c>
      <c r="DA5" s="37" t="s">
        <v>178</v>
      </c>
      <c r="DB5" s="37" t="s">
        <v>166</v>
      </c>
      <c r="DC5" s="37" t="s">
        <v>231</v>
      </c>
      <c r="DD5" s="37" t="s">
        <v>166</v>
      </c>
      <c r="DE5" s="37" t="s">
        <v>275</v>
      </c>
      <c r="DF5" s="37" t="s">
        <v>148</v>
      </c>
      <c r="DG5" s="101" t="s">
        <v>232</v>
      </c>
      <c r="DH5" s="37" t="s">
        <v>148</v>
      </c>
      <c r="DI5" s="37" t="s">
        <v>175</v>
      </c>
      <c r="DJ5" s="37" t="s">
        <v>234</v>
      </c>
      <c r="DK5" s="37" t="s">
        <v>235</v>
      </c>
      <c r="DL5" s="100"/>
      <c r="DM5" s="37" t="s">
        <v>236</v>
      </c>
      <c r="DN5" s="37" t="s">
        <v>166</v>
      </c>
      <c r="DO5" s="37" t="s">
        <v>178</v>
      </c>
      <c r="DP5" s="37" t="s">
        <v>166</v>
      </c>
      <c r="DQ5" s="37" t="s">
        <v>178</v>
      </c>
      <c r="DR5" s="37">
        <v>662432790</v>
      </c>
      <c r="DS5" s="37" t="s">
        <v>276</v>
      </c>
      <c r="DT5" s="105">
        <v>46056.204224537039</v>
      </c>
      <c r="DW5" s="37" t="s">
        <v>188</v>
      </c>
      <c r="DY5" s="37" t="s">
        <v>189</v>
      </c>
      <c r="EA5" s="37" t="s">
        <v>277</v>
      </c>
      <c r="EB5" s="37">
        <v>3</v>
      </c>
    </row>
    <row r="6" spans="1:195" s="37" customFormat="1" ht="58" x14ac:dyDescent="0.35">
      <c r="A6" s="37">
        <v>4</v>
      </c>
      <c r="B6" s="99" t="s">
        <v>278</v>
      </c>
      <c r="C6" s="37" t="s">
        <v>279</v>
      </c>
      <c r="D6" s="37" t="s">
        <v>280</v>
      </c>
      <c r="E6" s="37" t="s">
        <v>242</v>
      </c>
      <c r="F6" s="37">
        <v>9686502172</v>
      </c>
      <c r="G6" s="110" t="s">
        <v>281</v>
      </c>
      <c r="H6" s="37">
        <v>2022</v>
      </c>
      <c r="I6" s="37">
        <v>7920000</v>
      </c>
      <c r="J6" s="37">
        <v>416964</v>
      </c>
      <c r="K6" s="37">
        <v>2394022</v>
      </c>
      <c r="L6" s="37">
        <v>2798570</v>
      </c>
      <c r="M6" s="37">
        <v>461651</v>
      </c>
      <c r="N6" s="37">
        <v>1921486</v>
      </c>
      <c r="O6" s="37">
        <v>2111158</v>
      </c>
      <c r="P6" s="37">
        <v>6678.4</v>
      </c>
      <c r="Q6" s="107" t="s">
        <v>282</v>
      </c>
      <c r="R6" s="37" t="s">
        <v>283</v>
      </c>
      <c r="S6" s="100"/>
      <c r="T6" s="37" t="s">
        <v>284</v>
      </c>
      <c r="U6" s="100"/>
      <c r="V6" s="37" t="s">
        <v>285</v>
      </c>
      <c r="W6" s="100"/>
      <c r="X6" s="37">
        <v>728</v>
      </c>
      <c r="Y6" s="37" t="s">
        <v>148</v>
      </c>
      <c r="Z6" s="37" t="s">
        <v>286</v>
      </c>
      <c r="AA6" s="37" t="s">
        <v>287</v>
      </c>
      <c r="AB6" s="37" t="s">
        <v>148</v>
      </c>
      <c r="AD6" s="37">
        <v>1450</v>
      </c>
      <c r="AE6" s="37">
        <v>129460.829</v>
      </c>
      <c r="AF6" s="37">
        <v>57714.027000000002</v>
      </c>
      <c r="AG6" s="100"/>
      <c r="AH6" s="100"/>
      <c r="AI6" s="37" t="s">
        <v>288</v>
      </c>
      <c r="AJ6" s="37">
        <v>22</v>
      </c>
      <c r="AK6" s="37" t="s">
        <v>148</v>
      </c>
      <c r="AL6" s="37" t="s">
        <v>168</v>
      </c>
      <c r="AM6" s="37">
        <v>22</v>
      </c>
      <c r="AN6" s="37" t="s">
        <v>155</v>
      </c>
      <c r="AO6" s="37" t="s">
        <v>289</v>
      </c>
      <c r="AP6" s="37" t="s">
        <v>148</v>
      </c>
      <c r="AQ6" s="37" t="s">
        <v>290</v>
      </c>
      <c r="AR6" s="37">
        <v>7.4999999999999997E-2</v>
      </c>
      <c r="AS6" s="37">
        <v>96000</v>
      </c>
      <c r="AT6" s="102">
        <v>0.69389999999999996</v>
      </c>
      <c r="AU6" s="37" t="s">
        <v>258</v>
      </c>
      <c r="AV6" s="102">
        <v>0.32300000000000001</v>
      </c>
      <c r="AW6" s="100"/>
      <c r="AX6" s="101" t="s">
        <v>291</v>
      </c>
      <c r="AY6" s="101" t="s">
        <v>292</v>
      </c>
      <c r="AZ6" s="37" t="s">
        <v>148</v>
      </c>
      <c r="BA6" s="37" t="s">
        <v>293</v>
      </c>
      <c r="BB6" s="100"/>
      <c r="BC6" s="37" t="s">
        <v>294</v>
      </c>
      <c r="BD6" s="37" t="s">
        <v>295</v>
      </c>
      <c r="BE6" s="37" t="s">
        <v>148</v>
      </c>
      <c r="BF6" s="122" t="s">
        <v>296</v>
      </c>
      <c r="BG6" s="37" t="s">
        <v>148</v>
      </c>
      <c r="BH6" s="100"/>
      <c r="BI6" s="37">
        <v>2025</v>
      </c>
      <c r="BJ6" s="37" t="s">
        <v>166</v>
      </c>
      <c r="BK6" s="37" t="s">
        <v>166</v>
      </c>
      <c r="BL6" s="37" t="s">
        <v>166</v>
      </c>
      <c r="BM6" s="37" t="s">
        <v>166</v>
      </c>
      <c r="BN6" s="37" t="s">
        <v>148</v>
      </c>
      <c r="BO6" s="37" t="s">
        <v>297</v>
      </c>
      <c r="BP6" s="37" t="s">
        <v>148</v>
      </c>
      <c r="BQ6" s="37" t="s">
        <v>168</v>
      </c>
      <c r="BR6" s="37" t="s">
        <v>223</v>
      </c>
      <c r="BS6" s="37">
        <v>22</v>
      </c>
      <c r="BT6" s="37">
        <v>2023</v>
      </c>
      <c r="BU6" s="37">
        <v>101067</v>
      </c>
      <c r="BV6" s="37">
        <v>48.27</v>
      </c>
      <c r="BW6" s="37" t="s">
        <v>148</v>
      </c>
      <c r="BX6" s="37" t="s">
        <v>298</v>
      </c>
      <c r="BY6" s="37" t="s">
        <v>148</v>
      </c>
      <c r="BZ6" s="37" t="s">
        <v>299</v>
      </c>
      <c r="CA6" s="37" t="s">
        <v>300</v>
      </c>
      <c r="CB6" s="37" t="s">
        <v>301</v>
      </c>
      <c r="CC6" s="37" t="s">
        <v>148</v>
      </c>
      <c r="CD6" s="37" t="s">
        <v>302</v>
      </c>
      <c r="CE6" s="37" t="s">
        <v>175</v>
      </c>
      <c r="CF6" s="37" t="s">
        <v>166</v>
      </c>
      <c r="CG6" s="37" t="s">
        <v>227</v>
      </c>
      <c r="CH6" s="37" t="s">
        <v>148</v>
      </c>
      <c r="CI6" s="37" t="s">
        <v>303</v>
      </c>
      <c r="CJ6" s="37" t="s">
        <v>304</v>
      </c>
      <c r="CK6" s="37" t="s">
        <v>305</v>
      </c>
      <c r="CL6" s="37" t="s">
        <v>148</v>
      </c>
      <c r="CM6" s="37" t="s">
        <v>306</v>
      </c>
      <c r="CN6" s="37" t="s">
        <v>148</v>
      </c>
      <c r="CO6" s="37" t="s">
        <v>307</v>
      </c>
      <c r="CP6" s="37" t="s">
        <v>148</v>
      </c>
      <c r="CQ6" s="37" t="s">
        <v>308</v>
      </c>
      <c r="CR6" s="37" t="s">
        <v>309</v>
      </c>
      <c r="CS6" s="37" t="s">
        <v>99</v>
      </c>
      <c r="CT6" s="37" t="s">
        <v>166</v>
      </c>
      <c r="CU6" s="37" t="s">
        <v>178</v>
      </c>
      <c r="CV6" s="37" t="s">
        <v>310</v>
      </c>
      <c r="CW6" s="37" t="s">
        <v>311</v>
      </c>
      <c r="CX6" s="37" t="s">
        <v>166</v>
      </c>
      <c r="CY6" s="37" t="s">
        <v>178</v>
      </c>
      <c r="CZ6" s="37" t="s">
        <v>312</v>
      </c>
      <c r="DA6" s="100"/>
      <c r="DB6" s="37" t="s">
        <v>148</v>
      </c>
      <c r="DC6" s="37" t="s">
        <v>313</v>
      </c>
      <c r="DD6" s="37" t="s">
        <v>166</v>
      </c>
      <c r="DE6" s="37" t="s">
        <v>148</v>
      </c>
      <c r="DF6" s="37" t="s">
        <v>148</v>
      </c>
      <c r="DG6" s="100"/>
      <c r="DH6" s="37" t="s">
        <v>148</v>
      </c>
      <c r="DI6" s="37" t="s">
        <v>314</v>
      </c>
      <c r="DJ6" s="37" t="s">
        <v>315</v>
      </c>
      <c r="DK6" s="37" t="s">
        <v>316</v>
      </c>
      <c r="DL6" s="37" t="s">
        <v>317</v>
      </c>
      <c r="DM6" s="37" t="s">
        <v>318</v>
      </c>
      <c r="DN6" s="37" t="s">
        <v>148</v>
      </c>
      <c r="DO6" s="37" t="s">
        <v>319</v>
      </c>
      <c r="DP6" s="37" t="s">
        <v>320</v>
      </c>
      <c r="DQ6" s="100"/>
      <c r="DR6" s="37">
        <v>663325073</v>
      </c>
      <c r="DS6" s="37" t="s">
        <v>321</v>
      </c>
      <c r="DT6" s="105">
        <v>46057.3125</v>
      </c>
      <c r="DW6" s="37" t="s">
        <v>188</v>
      </c>
      <c r="DY6" s="37" t="s">
        <v>189</v>
      </c>
      <c r="EA6" s="37" t="s">
        <v>322</v>
      </c>
      <c r="EB6" s="37">
        <v>4</v>
      </c>
    </row>
    <row r="7" spans="1:195" s="37" customFormat="1" ht="58" x14ac:dyDescent="0.35">
      <c r="A7" s="37">
        <v>5</v>
      </c>
      <c r="B7" s="37" t="s">
        <v>323</v>
      </c>
      <c r="C7" s="37" t="s">
        <v>324</v>
      </c>
      <c r="D7" s="111" t="s">
        <v>325</v>
      </c>
      <c r="E7" s="37" t="s">
        <v>326</v>
      </c>
      <c r="F7" s="37">
        <v>9109912455</v>
      </c>
      <c r="G7" s="110" t="s">
        <v>327</v>
      </c>
      <c r="H7" s="37">
        <v>1997</v>
      </c>
      <c r="I7" s="37">
        <v>2500000</v>
      </c>
      <c r="J7" s="37">
        <v>1888783</v>
      </c>
      <c r="K7" s="37">
        <v>1822740</v>
      </c>
      <c r="L7" s="37">
        <v>2134091</v>
      </c>
      <c r="M7" s="37">
        <v>2040244</v>
      </c>
      <c r="N7" s="37">
        <v>2202127</v>
      </c>
      <c r="O7" s="37">
        <v>2038278</v>
      </c>
      <c r="P7" s="37">
        <v>7282.95</v>
      </c>
      <c r="Q7" s="107" t="s">
        <v>328</v>
      </c>
      <c r="R7" s="37" t="s">
        <v>329</v>
      </c>
      <c r="S7" s="37" t="s">
        <v>330</v>
      </c>
      <c r="T7" s="37" t="s">
        <v>331</v>
      </c>
      <c r="U7" s="37" t="s">
        <v>332</v>
      </c>
      <c r="V7" s="37" t="s">
        <v>333</v>
      </c>
      <c r="W7" s="37" t="s">
        <v>334</v>
      </c>
      <c r="X7" s="37">
        <v>726</v>
      </c>
      <c r="Y7" s="37" t="s">
        <v>148</v>
      </c>
      <c r="Z7" s="37" t="s">
        <v>335</v>
      </c>
      <c r="AA7" s="37" t="s">
        <v>336</v>
      </c>
      <c r="AB7" s="37" t="s">
        <v>148</v>
      </c>
      <c r="AC7" s="37" t="s">
        <v>202</v>
      </c>
      <c r="AD7" s="37" t="s">
        <v>337</v>
      </c>
      <c r="AE7" s="112"/>
      <c r="AF7" s="100"/>
      <c r="AG7" s="100"/>
      <c r="AH7" s="100"/>
      <c r="AI7" s="37" t="s">
        <v>338</v>
      </c>
      <c r="AJ7" s="37">
        <v>30</v>
      </c>
      <c r="AK7" s="37" t="s">
        <v>148</v>
      </c>
      <c r="AL7" s="122" t="s">
        <v>339</v>
      </c>
      <c r="AM7" s="37" t="s">
        <v>340</v>
      </c>
      <c r="AN7" s="37" t="s">
        <v>155</v>
      </c>
      <c r="AO7" s="37" t="s">
        <v>341</v>
      </c>
      <c r="AP7" s="37" t="s">
        <v>148</v>
      </c>
      <c r="AQ7" s="113" t="s">
        <v>342</v>
      </c>
      <c r="AR7" s="37">
        <v>23</v>
      </c>
      <c r="AS7" s="37">
        <v>50000</v>
      </c>
      <c r="AT7" s="102">
        <v>0.67889999999999995</v>
      </c>
      <c r="AU7" s="37" t="s">
        <v>343</v>
      </c>
      <c r="AV7" s="37" t="s">
        <v>344</v>
      </c>
      <c r="AW7" s="101" t="s">
        <v>345</v>
      </c>
      <c r="AX7" s="101" t="s">
        <v>346</v>
      </c>
      <c r="AY7" s="101" t="s">
        <v>347</v>
      </c>
      <c r="AZ7" s="37" t="s">
        <v>148</v>
      </c>
      <c r="BA7" s="37" t="s">
        <v>348</v>
      </c>
      <c r="BB7" s="37" t="s">
        <v>349</v>
      </c>
      <c r="BC7" s="37" t="s">
        <v>350</v>
      </c>
      <c r="BD7" s="37" t="s">
        <v>351</v>
      </c>
      <c r="BE7" s="37" t="s">
        <v>148</v>
      </c>
      <c r="BF7" s="37" t="s">
        <v>352</v>
      </c>
      <c r="BG7" s="37" t="s">
        <v>148</v>
      </c>
      <c r="BH7" s="113" t="s">
        <v>353</v>
      </c>
      <c r="BI7" s="37">
        <v>2012</v>
      </c>
      <c r="BJ7" s="37" t="s">
        <v>166</v>
      </c>
      <c r="BK7" s="37" t="s">
        <v>166</v>
      </c>
      <c r="BL7" s="37" t="s">
        <v>148</v>
      </c>
      <c r="BM7" s="37" t="s">
        <v>166</v>
      </c>
      <c r="BN7" s="37" t="s">
        <v>186</v>
      </c>
      <c r="BO7" s="37" t="s">
        <v>354</v>
      </c>
      <c r="BP7" s="37" t="s">
        <v>148</v>
      </c>
      <c r="BQ7" s="37" t="s">
        <v>168</v>
      </c>
      <c r="BR7" s="37" t="s">
        <v>223</v>
      </c>
      <c r="BS7" s="37">
        <v>22.44</v>
      </c>
      <c r="BT7" s="37">
        <v>2021</v>
      </c>
      <c r="BU7" s="37">
        <v>10695.866</v>
      </c>
      <c r="BV7" s="37">
        <v>47.97</v>
      </c>
      <c r="BW7" s="37" t="s">
        <v>166</v>
      </c>
      <c r="BX7" s="37" t="s">
        <v>178</v>
      </c>
      <c r="BY7" s="37" t="s">
        <v>148</v>
      </c>
      <c r="BZ7" s="37" t="s">
        <v>355</v>
      </c>
      <c r="CC7" s="37" t="s">
        <v>166</v>
      </c>
      <c r="CD7" s="37" t="s">
        <v>178</v>
      </c>
      <c r="CE7" s="37" t="s">
        <v>175</v>
      </c>
      <c r="CF7" s="37" t="s">
        <v>166</v>
      </c>
      <c r="CG7" s="37" t="s">
        <v>227</v>
      </c>
      <c r="CH7" s="37" t="s">
        <v>148</v>
      </c>
      <c r="CI7" s="37" t="s">
        <v>356</v>
      </c>
      <c r="CJ7" s="37" t="s">
        <v>357</v>
      </c>
      <c r="CK7" s="37" t="s">
        <v>178</v>
      </c>
      <c r="CL7" s="37" t="s">
        <v>166</v>
      </c>
      <c r="CM7" s="37" t="s">
        <v>178</v>
      </c>
      <c r="CN7" s="37" t="s">
        <v>166</v>
      </c>
      <c r="CO7" s="37" t="s">
        <v>178</v>
      </c>
      <c r="CP7" s="37" t="s">
        <v>166</v>
      </c>
      <c r="CQ7" s="37" t="s">
        <v>178</v>
      </c>
      <c r="CR7" s="37" t="s">
        <v>178</v>
      </c>
      <c r="CS7" s="37" t="s">
        <v>178</v>
      </c>
      <c r="CT7" s="37" t="s">
        <v>148</v>
      </c>
      <c r="CU7" s="37" t="s">
        <v>358</v>
      </c>
      <c r="CV7" s="101" t="s">
        <v>359</v>
      </c>
      <c r="CW7" s="100"/>
      <c r="CX7" s="37" t="s">
        <v>166</v>
      </c>
      <c r="CY7" s="37" t="s">
        <v>178</v>
      </c>
      <c r="CZ7" s="37" t="s">
        <v>360</v>
      </c>
      <c r="DA7" s="37" t="s">
        <v>361</v>
      </c>
      <c r="DB7" s="37" t="s">
        <v>148</v>
      </c>
      <c r="DC7" s="37" t="s">
        <v>362</v>
      </c>
      <c r="DD7" s="37" t="s">
        <v>166</v>
      </c>
      <c r="DE7" s="37" t="s">
        <v>178</v>
      </c>
      <c r="DF7" s="37" t="s">
        <v>148</v>
      </c>
      <c r="DG7" s="101" t="s">
        <v>232</v>
      </c>
      <c r="DH7" s="37" t="s">
        <v>148</v>
      </c>
      <c r="DI7" s="37" t="s">
        <v>363</v>
      </c>
      <c r="DJ7" s="37" t="s">
        <v>364</v>
      </c>
      <c r="DK7" s="37" t="s">
        <v>365</v>
      </c>
      <c r="DL7" s="37" t="s">
        <v>366</v>
      </c>
      <c r="DM7" s="37" t="s">
        <v>367</v>
      </c>
      <c r="DN7" s="37" t="s">
        <v>166</v>
      </c>
      <c r="DO7" s="37" t="s">
        <v>178</v>
      </c>
      <c r="DP7" s="37" t="s">
        <v>186</v>
      </c>
      <c r="DQ7" s="37" t="s">
        <v>368</v>
      </c>
      <c r="DR7" s="37">
        <v>664117341</v>
      </c>
      <c r="DS7" s="37" t="s">
        <v>369</v>
      </c>
      <c r="DT7" s="105">
        <v>46058.198055555556</v>
      </c>
      <c r="DW7" s="37" t="s">
        <v>188</v>
      </c>
      <c r="DY7" s="37" t="s">
        <v>189</v>
      </c>
      <c r="EA7" s="37" t="s">
        <v>370</v>
      </c>
      <c r="EB7" s="37">
        <v>5</v>
      </c>
    </row>
    <row r="8" spans="1:195" s="37" customFormat="1" ht="58" x14ac:dyDescent="0.35">
      <c r="A8" s="37">
        <v>6</v>
      </c>
      <c r="B8" s="37" t="s">
        <v>371</v>
      </c>
      <c r="C8" s="37" t="s">
        <v>324</v>
      </c>
      <c r="D8" s="111" t="s">
        <v>325</v>
      </c>
      <c r="E8" s="37" t="s">
        <v>326</v>
      </c>
      <c r="F8" s="37">
        <v>9109912455</v>
      </c>
      <c r="G8" s="110" t="s">
        <v>327</v>
      </c>
      <c r="H8" s="37">
        <v>2011</v>
      </c>
      <c r="I8" s="37">
        <v>3000000</v>
      </c>
      <c r="J8" s="37">
        <v>2225043</v>
      </c>
      <c r="K8" s="37">
        <v>2684861</v>
      </c>
      <c r="L8" s="37">
        <v>2464534</v>
      </c>
      <c r="M8" s="37">
        <v>3516758</v>
      </c>
      <c r="N8" s="37">
        <v>3846912</v>
      </c>
      <c r="O8" s="37">
        <v>3587234</v>
      </c>
      <c r="P8" s="37">
        <v>6856.88</v>
      </c>
      <c r="Q8" s="37" t="s">
        <v>372</v>
      </c>
      <c r="R8" s="37" t="s">
        <v>329</v>
      </c>
      <c r="S8" s="37" t="s">
        <v>330</v>
      </c>
      <c r="T8" s="37" t="s">
        <v>331</v>
      </c>
      <c r="U8" s="37" t="s">
        <v>332</v>
      </c>
      <c r="V8" s="37" t="s">
        <v>333</v>
      </c>
      <c r="W8" s="37" t="s">
        <v>334</v>
      </c>
      <c r="X8" s="37">
        <v>734</v>
      </c>
      <c r="Y8" s="37" t="s">
        <v>148</v>
      </c>
      <c r="Z8" s="37" t="s">
        <v>335</v>
      </c>
      <c r="AA8" s="37" t="s">
        <v>336</v>
      </c>
      <c r="AB8" s="37" t="s">
        <v>148</v>
      </c>
      <c r="AC8" s="37" t="s">
        <v>363</v>
      </c>
      <c r="AD8" s="37">
        <v>1450</v>
      </c>
      <c r="AE8" s="100"/>
      <c r="AF8" s="100"/>
      <c r="AG8" s="100"/>
      <c r="AH8" s="100"/>
      <c r="AI8" s="37" t="s">
        <v>373</v>
      </c>
      <c r="AJ8" s="37">
        <v>45</v>
      </c>
      <c r="AK8" s="37" t="s">
        <v>148</v>
      </c>
      <c r="AL8" s="122" t="s">
        <v>339</v>
      </c>
      <c r="AM8" s="37" t="s">
        <v>374</v>
      </c>
      <c r="AN8" s="37" t="s">
        <v>155</v>
      </c>
      <c r="AO8" s="37" t="s">
        <v>341</v>
      </c>
      <c r="AP8" s="37" t="s">
        <v>148</v>
      </c>
      <c r="AQ8" s="113" t="s">
        <v>342</v>
      </c>
      <c r="AR8" s="37">
        <v>15</v>
      </c>
      <c r="AS8" s="37">
        <v>50000</v>
      </c>
      <c r="AT8" s="37">
        <v>67.89</v>
      </c>
      <c r="AU8" s="37" t="s">
        <v>343</v>
      </c>
      <c r="AV8" s="37" t="s">
        <v>344</v>
      </c>
      <c r="AW8" s="101" t="s">
        <v>375</v>
      </c>
      <c r="AX8" s="101" t="s">
        <v>376</v>
      </c>
      <c r="AY8" s="101" t="s">
        <v>377</v>
      </c>
      <c r="AZ8" s="37" t="s">
        <v>148</v>
      </c>
      <c r="BA8" s="37" t="s">
        <v>378</v>
      </c>
      <c r="BB8" s="37" t="s">
        <v>379</v>
      </c>
      <c r="BC8" s="37" t="s">
        <v>380</v>
      </c>
      <c r="BD8" s="37" t="s">
        <v>381</v>
      </c>
      <c r="BE8" s="37" t="s">
        <v>148</v>
      </c>
      <c r="BF8" s="37" t="s">
        <v>352</v>
      </c>
      <c r="BG8" s="37" t="s">
        <v>148</v>
      </c>
      <c r="BH8" s="113" t="s">
        <v>353</v>
      </c>
      <c r="BI8" s="37">
        <v>2012</v>
      </c>
      <c r="BJ8" s="37" t="s">
        <v>166</v>
      </c>
      <c r="BK8" s="37" t="s">
        <v>166</v>
      </c>
      <c r="BL8" s="37" t="s">
        <v>148</v>
      </c>
      <c r="BM8" s="37" t="s">
        <v>166</v>
      </c>
      <c r="BN8" s="37" t="s">
        <v>186</v>
      </c>
      <c r="BO8" s="37" t="s">
        <v>354</v>
      </c>
      <c r="BP8" s="37" t="s">
        <v>148</v>
      </c>
      <c r="BQ8" s="37" t="s">
        <v>168</v>
      </c>
      <c r="BR8" s="37" t="s">
        <v>223</v>
      </c>
      <c r="BS8" s="37">
        <v>22.44</v>
      </c>
      <c r="BT8" s="37">
        <v>2021</v>
      </c>
      <c r="BU8" s="37">
        <v>10695.866</v>
      </c>
      <c r="BV8" s="37">
        <v>55.88</v>
      </c>
      <c r="BW8" s="37" t="s">
        <v>166</v>
      </c>
      <c r="BX8" s="37" t="s">
        <v>178</v>
      </c>
      <c r="BY8" s="37" t="s">
        <v>148</v>
      </c>
      <c r="BZ8" s="37" t="s">
        <v>355</v>
      </c>
      <c r="CA8" s="101" t="s">
        <v>382</v>
      </c>
      <c r="CB8" s="101" t="s">
        <v>382</v>
      </c>
      <c r="CC8" s="37" t="s">
        <v>166</v>
      </c>
      <c r="CD8" s="37" t="s">
        <v>178</v>
      </c>
      <c r="CE8" s="37" t="s">
        <v>175</v>
      </c>
      <c r="CF8" s="37" t="s">
        <v>166</v>
      </c>
      <c r="CG8" s="37" t="s">
        <v>227</v>
      </c>
      <c r="CH8" s="37" t="s">
        <v>148</v>
      </c>
      <c r="CI8" s="37" t="s">
        <v>356</v>
      </c>
      <c r="CJ8" s="37" t="s">
        <v>357</v>
      </c>
      <c r="CK8" s="37" t="s">
        <v>178</v>
      </c>
      <c r="CL8" s="37" t="s">
        <v>166</v>
      </c>
      <c r="CM8" s="37" t="s">
        <v>178</v>
      </c>
      <c r="CN8" s="37" t="s">
        <v>166</v>
      </c>
      <c r="CO8" s="37" t="s">
        <v>178</v>
      </c>
      <c r="CP8" s="37" t="s">
        <v>166</v>
      </c>
      <c r="CQ8" s="37" t="s">
        <v>178</v>
      </c>
      <c r="CR8" s="37" t="s">
        <v>178</v>
      </c>
      <c r="CS8" s="37" t="s">
        <v>178</v>
      </c>
      <c r="CT8" s="37" t="s">
        <v>148</v>
      </c>
      <c r="CU8" s="37" t="s">
        <v>358</v>
      </c>
      <c r="CV8" s="101" t="s">
        <v>359</v>
      </c>
      <c r="CW8" s="100"/>
      <c r="CX8" s="37" t="s">
        <v>166</v>
      </c>
      <c r="CY8" s="37" t="s">
        <v>178</v>
      </c>
      <c r="CZ8" s="37" t="s">
        <v>383</v>
      </c>
      <c r="DA8" s="37" t="s">
        <v>384</v>
      </c>
      <c r="DB8" s="37" t="s">
        <v>148</v>
      </c>
      <c r="DC8" s="37" t="s">
        <v>362</v>
      </c>
      <c r="DD8" s="37" t="s">
        <v>166</v>
      </c>
      <c r="DE8" s="37" t="s">
        <v>178</v>
      </c>
      <c r="DF8" s="37" t="s">
        <v>148</v>
      </c>
      <c r="DG8" s="101" t="s">
        <v>232</v>
      </c>
      <c r="DH8" s="37" t="s">
        <v>148</v>
      </c>
      <c r="DI8" s="37" t="s">
        <v>363</v>
      </c>
      <c r="DJ8" s="37" t="s">
        <v>364</v>
      </c>
      <c r="DK8" s="37" t="s">
        <v>365</v>
      </c>
      <c r="DL8" s="37" t="s">
        <v>366</v>
      </c>
      <c r="DM8" s="37" t="s">
        <v>367</v>
      </c>
      <c r="DN8" s="37" t="s">
        <v>166</v>
      </c>
      <c r="DO8" s="37" t="s">
        <v>178</v>
      </c>
      <c r="DP8" s="37" t="s">
        <v>186</v>
      </c>
      <c r="DQ8" s="37" t="s">
        <v>368</v>
      </c>
      <c r="DR8" s="37">
        <v>664124388</v>
      </c>
      <c r="DS8" s="37" t="s">
        <v>385</v>
      </c>
      <c r="DT8" s="105">
        <v>46058.207476851851</v>
      </c>
      <c r="DW8" s="37" t="s">
        <v>188</v>
      </c>
      <c r="DY8" s="37" t="s">
        <v>189</v>
      </c>
      <c r="EA8" s="37" t="s">
        <v>386</v>
      </c>
      <c r="EB8" s="37">
        <v>6</v>
      </c>
    </row>
    <row r="9" spans="1:195" s="37" customFormat="1" ht="43.5" x14ac:dyDescent="0.35">
      <c r="A9" s="37">
        <v>7</v>
      </c>
      <c r="B9" s="37" t="s">
        <v>387</v>
      </c>
      <c r="C9" s="37" t="s">
        <v>388</v>
      </c>
      <c r="D9" s="37" t="s">
        <v>389</v>
      </c>
      <c r="E9" s="100"/>
      <c r="F9" s="37">
        <v>7247727537</v>
      </c>
      <c r="G9" s="110" t="s">
        <v>390</v>
      </c>
      <c r="H9" s="37">
        <v>1996</v>
      </c>
      <c r="I9" s="37">
        <v>2380000</v>
      </c>
      <c r="J9" s="37">
        <v>2002282</v>
      </c>
      <c r="K9" s="37">
        <v>1708493</v>
      </c>
      <c r="L9" s="37">
        <v>1793851</v>
      </c>
      <c r="M9" s="37">
        <v>21585320</v>
      </c>
      <c r="N9" s="37">
        <v>2156065</v>
      </c>
      <c r="O9" s="37">
        <v>2240228</v>
      </c>
      <c r="P9" s="37">
        <v>7361</v>
      </c>
      <c r="Q9" s="37" t="s">
        <v>391</v>
      </c>
      <c r="R9" s="37" t="s">
        <v>392</v>
      </c>
      <c r="S9" s="100"/>
      <c r="T9" s="37" t="s">
        <v>393</v>
      </c>
      <c r="U9" s="100"/>
      <c r="V9" s="37" t="s">
        <v>394</v>
      </c>
      <c r="W9" s="100"/>
      <c r="X9" s="37">
        <v>706.75</v>
      </c>
      <c r="Y9" s="37" t="s">
        <v>148</v>
      </c>
      <c r="Z9" s="100"/>
      <c r="AA9" s="100"/>
      <c r="AB9" s="37" t="s">
        <v>148</v>
      </c>
      <c r="AC9" s="37" t="s">
        <v>395</v>
      </c>
      <c r="AD9" s="37" t="s">
        <v>396</v>
      </c>
      <c r="AE9" s="100"/>
      <c r="AF9" s="37">
        <v>67986</v>
      </c>
      <c r="AG9" s="100"/>
      <c r="AH9" s="100"/>
      <c r="AI9" s="37" t="s">
        <v>397</v>
      </c>
      <c r="AJ9" s="37">
        <v>29</v>
      </c>
      <c r="AK9" s="37" t="s">
        <v>148</v>
      </c>
      <c r="AL9" s="122" t="s">
        <v>398</v>
      </c>
      <c r="AM9" s="37" t="s">
        <v>399</v>
      </c>
      <c r="AN9" s="37" t="s">
        <v>255</v>
      </c>
      <c r="AO9" s="37" t="s">
        <v>400</v>
      </c>
      <c r="AP9" s="37" t="s">
        <v>148</v>
      </c>
      <c r="AQ9" s="37" t="s">
        <v>401</v>
      </c>
      <c r="AR9" s="37">
        <v>5</v>
      </c>
      <c r="AS9" s="100"/>
      <c r="AT9" s="37">
        <v>93.76</v>
      </c>
      <c r="AU9" s="37" t="s">
        <v>402</v>
      </c>
      <c r="AV9" s="37" t="s">
        <v>403</v>
      </c>
      <c r="AW9" s="37" t="s">
        <v>404</v>
      </c>
      <c r="AX9" s="37" t="s">
        <v>405</v>
      </c>
      <c r="AY9" s="37" t="s">
        <v>406</v>
      </c>
      <c r="AZ9" s="37" t="s">
        <v>148</v>
      </c>
      <c r="BA9" s="37" t="s">
        <v>407</v>
      </c>
      <c r="BB9" s="37" t="s">
        <v>408</v>
      </c>
      <c r="BC9" s="37" t="s">
        <v>409</v>
      </c>
      <c r="BD9" s="37" t="s">
        <v>410</v>
      </c>
      <c r="BE9" s="37" t="s">
        <v>148</v>
      </c>
      <c r="BF9" s="37" t="s">
        <v>411</v>
      </c>
      <c r="BG9" s="37" t="s">
        <v>148</v>
      </c>
      <c r="BH9" s="100"/>
      <c r="BI9" s="100"/>
      <c r="BJ9" s="100"/>
      <c r="BK9" s="100"/>
      <c r="BL9" s="100"/>
      <c r="BM9" s="100"/>
      <c r="BN9" s="100"/>
      <c r="BO9" s="101" t="s">
        <v>382</v>
      </c>
      <c r="BP9" s="37" t="s">
        <v>148</v>
      </c>
      <c r="BQ9" s="37" t="s">
        <v>168</v>
      </c>
      <c r="BR9" s="37" t="s">
        <v>223</v>
      </c>
      <c r="BS9" s="37">
        <v>13</v>
      </c>
      <c r="BT9" s="37">
        <v>2021</v>
      </c>
      <c r="BU9" s="37">
        <v>56132.2</v>
      </c>
      <c r="BV9" s="37">
        <v>58.07</v>
      </c>
      <c r="BW9" s="37" t="s">
        <v>148</v>
      </c>
      <c r="BX9" s="100"/>
      <c r="BY9" s="37" t="s">
        <v>166</v>
      </c>
      <c r="BZ9" s="37" t="s">
        <v>178</v>
      </c>
      <c r="CA9" s="37" t="s">
        <v>412</v>
      </c>
      <c r="CB9" s="37">
        <v>671.72</v>
      </c>
      <c r="CC9" s="37" t="s">
        <v>166</v>
      </c>
      <c r="CD9" s="37" t="s">
        <v>178</v>
      </c>
      <c r="CE9" s="37" t="s">
        <v>175</v>
      </c>
      <c r="CF9" s="37" t="s">
        <v>166</v>
      </c>
      <c r="CG9" s="37" t="s">
        <v>227</v>
      </c>
      <c r="CH9" s="37" t="s">
        <v>166</v>
      </c>
      <c r="CI9" s="37" t="s">
        <v>178</v>
      </c>
      <c r="CJ9" s="37" t="s">
        <v>166</v>
      </c>
      <c r="CK9" s="37" t="s">
        <v>178</v>
      </c>
      <c r="CL9" s="37" t="s">
        <v>166</v>
      </c>
      <c r="CM9" s="37" t="s">
        <v>178</v>
      </c>
      <c r="CN9" s="37" t="s">
        <v>166</v>
      </c>
      <c r="CO9" s="37" t="s">
        <v>178</v>
      </c>
      <c r="CP9" s="37" t="s">
        <v>148</v>
      </c>
      <c r="CQ9" s="37" t="s">
        <v>413</v>
      </c>
      <c r="CR9" s="100"/>
      <c r="CS9" s="37">
        <v>1996</v>
      </c>
      <c r="CT9" s="37" t="s">
        <v>166</v>
      </c>
      <c r="CU9" s="37" t="s">
        <v>178</v>
      </c>
      <c r="CV9" s="37" t="s">
        <v>414</v>
      </c>
      <c r="CW9" s="37" t="s">
        <v>178</v>
      </c>
      <c r="CX9" s="37" t="s">
        <v>178</v>
      </c>
      <c r="CY9" s="37" t="s">
        <v>178</v>
      </c>
      <c r="CZ9" s="37" t="s">
        <v>168</v>
      </c>
      <c r="DA9" s="37">
        <v>122</v>
      </c>
      <c r="DB9" s="37" t="s">
        <v>166</v>
      </c>
      <c r="DC9" s="37" t="s">
        <v>415</v>
      </c>
      <c r="DD9" s="37" t="s">
        <v>166</v>
      </c>
      <c r="DE9" s="37" t="s">
        <v>416</v>
      </c>
      <c r="DF9" s="37" t="s">
        <v>148</v>
      </c>
      <c r="DG9" s="101" t="s">
        <v>232</v>
      </c>
      <c r="DH9" s="37" t="s">
        <v>166</v>
      </c>
      <c r="DI9" s="37" t="s">
        <v>178</v>
      </c>
      <c r="DJ9" s="37" t="s">
        <v>417</v>
      </c>
      <c r="DK9" s="100"/>
      <c r="DL9" s="100"/>
      <c r="DM9" s="37" t="s">
        <v>418</v>
      </c>
      <c r="DN9" s="37" t="s">
        <v>166</v>
      </c>
      <c r="DO9" s="37" t="s">
        <v>178</v>
      </c>
      <c r="DP9" s="37" t="s">
        <v>166</v>
      </c>
      <c r="DQ9" s="37" t="s">
        <v>178</v>
      </c>
      <c r="DR9" s="37">
        <v>665057245</v>
      </c>
      <c r="DS9" s="37" t="s">
        <v>419</v>
      </c>
      <c r="DT9" s="105">
        <v>46059.241435185177</v>
      </c>
      <c r="DW9" s="37" t="s">
        <v>188</v>
      </c>
      <c r="DY9" s="37" t="s">
        <v>189</v>
      </c>
      <c r="EA9" s="37" t="s">
        <v>420</v>
      </c>
      <c r="EB9" s="37">
        <v>7</v>
      </c>
    </row>
    <row r="10" spans="1:195" s="37" customFormat="1" ht="58" x14ac:dyDescent="0.35">
      <c r="A10" s="37">
        <v>8</v>
      </c>
      <c r="B10" s="37" t="s">
        <v>421</v>
      </c>
      <c r="C10" s="37" t="s">
        <v>422</v>
      </c>
      <c r="D10" s="37" t="s">
        <v>423</v>
      </c>
      <c r="E10" s="37" t="s">
        <v>424</v>
      </c>
      <c r="F10" s="37">
        <v>9522220233</v>
      </c>
      <c r="G10" s="110" t="s">
        <v>425</v>
      </c>
      <c r="H10" s="37">
        <v>1980</v>
      </c>
      <c r="I10" s="37">
        <v>8000000</v>
      </c>
      <c r="J10" s="37">
        <v>2369348</v>
      </c>
      <c r="K10" s="37">
        <v>2457343</v>
      </c>
      <c r="L10" s="37">
        <v>3094172</v>
      </c>
      <c r="M10" s="37">
        <v>3092190</v>
      </c>
      <c r="N10" s="37">
        <v>2760058</v>
      </c>
      <c r="O10" s="37">
        <v>2651217</v>
      </c>
      <c r="P10" s="37">
        <v>7042</v>
      </c>
      <c r="Q10" s="37" t="s">
        <v>426</v>
      </c>
      <c r="R10" s="37" t="s">
        <v>427</v>
      </c>
      <c r="S10" s="100"/>
      <c r="T10" s="37" t="s">
        <v>428</v>
      </c>
      <c r="U10" s="37" t="s">
        <v>429</v>
      </c>
      <c r="V10" s="37" t="s">
        <v>430</v>
      </c>
      <c r="W10" s="100"/>
      <c r="X10" s="37">
        <v>764.26</v>
      </c>
      <c r="Y10" s="37" t="s">
        <v>148</v>
      </c>
      <c r="Z10" s="37" t="s">
        <v>431</v>
      </c>
      <c r="AA10" s="37" t="s">
        <v>432</v>
      </c>
      <c r="AB10" s="37" t="s">
        <v>148</v>
      </c>
      <c r="AC10" s="37" t="s">
        <v>175</v>
      </c>
      <c r="AD10" s="37" t="s">
        <v>152</v>
      </c>
      <c r="AE10" s="114">
        <v>174654.37</v>
      </c>
      <c r="AF10" s="114">
        <v>97660.3</v>
      </c>
      <c r="AG10" s="114">
        <v>11928.15</v>
      </c>
      <c r="AH10" s="114">
        <v>15954.27</v>
      </c>
      <c r="AI10" s="100"/>
      <c r="AJ10" s="37">
        <v>84</v>
      </c>
      <c r="AK10" s="37" t="s">
        <v>148</v>
      </c>
      <c r="AL10" s="122" t="s">
        <v>433</v>
      </c>
      <c r="AM10" s="37" t="s">
        <v>434</v>
      </c>
      <c r="AN10" s="37" t="s">
        <v>155</v>
      </c>
      <c r="AO10" s="37" t="s">
        <v>435</v>
      </c>
      <c r="AP10" s="37" t="s">
        <v>148</v>
      </c>
      <c r="AQ10" s="37" t="s">
        <v>436</v>
      </c>
      <c r="AR10" s="122" t="s">
        <v>437</v>
      </c>
      <c r="AS10" s="37" t="s">
        <v>438</v>
      </c>
      <c r="AT10" s="37">
        <v>76.099999999999994</v>
      </c>
      <c r="AU10" s="37" t="s">
        <v>439</v>
      </c>
      <c r="AV10" s="37" t="s">
        <v>440</v>
      </c>
      <c r="AW10" s="101" t="s">
        <v>441</v>
      </c>
      <c r="AX10" s="101" t="s">
        <v>442</v>
      </c>
      <c r="AY10" s="101" t="s">
        <v>443</v>
      </c>
      <c r="AZ10" s="37" t="s">
        <v>148</v>
      </c>
      <c r="BA10" s="37" t="s">
        <v>444</v>
      </c>
      <c r="BB10" s="37" t="s">
        <v>445</v>
      </c>
      <c r="BC10" s="37" t="s">
        <v>446</v>
      </c>
      <c r="BD10" s="37" t="s">
        <v>447</v>
      </c>
      <c r="BE10" s="100"/>
      <c r="BF10" s="100"/>
      <c r="BG10" s="37" t="s">
        <v>148</v>
      </c>
      <c r="BH10" s="37" t="s">
        <v>448</v>
      </c>
      <c r="BI10" s="37" t="s">
        <v>100</v>
      </c>
      <c r="BJ10" s="37" t="s">
        <v>178</v>
      </c>
      <c r="BK10" s="37" t="s">
        <v>178</v>
      </c>
      <c r="BL10" s="37" t="s">
        <v>178</v>
      </c>
      <c r="BM10" s="37" t="s">
        <v>178</v>
      </c>
      <c r="BN10" s="37" t="s">
        <v>178</v>
      </c>
      <c r="BO10" s="101" t="s">
        <v>382</v>
      </c>
      <c r="BP10" s="37" t="s">
        <v>148</v>
      </c>
      <c r="BQ10" s="37" t="s">
        <v>168</v>
      </c>
      <c r="BR10" s="37" t="s">
        <v>223</v>
      </c>
      <c r="BS10" s="37">
        <v>20</v>
      </c>
      <c r="BT10" s="37">
        <v>2022</v>
      </c>
      <c r="BU10" s="37">
        <v>55883.8</v>
      </c>
      <c r="BV10" s="37">
        <v>59.05</v>
      </c>
      <c r="BW10" s="37" t="s">
        <v>148</v>
      </c>
      <c r="BX10" s="37" t="s">
        <v>449</v>
      </c>
      <c r="BY10" s="37" t="s">
        <v>166</v>
      </c>
      <c r="BZ10" s="37" t="s">
        <v>178</v>
      </c>
      <c r="CA10" s="37" t="s">
        <v>412</v>
      </c>
      <c r="CB10" s="37">
        <v>715</v>
      </c>
      <c r="CC10" s="37" t="s">
        <v>166</v>
      </c>
      <c r="CD10" s="37" t="s">
        <v>178</v>
      </c>
      <c r="CE10" s="37" t="s">
        <v>175</v>
      </c>
      <c r="CF10" s="37" t="s">
        <v>166</v>
      </c>
      <c r="CG10" s="37" t="s">
        <v>227</v>
      </c>
      <c r="CH10" s="37" t="s">
        <v>166</v>
      </c>
      <c r="CI10" s="37" t="s">
        <v>178</v>
      </c>
      <c r="CJ10" s="37" t="s">
        <v>166</v>
      </c>
      <c r="CK10" s="37" t="s">
        <v>178</v>
      </c>
      <c r="CL10" s="37" t="s">
        <v>166</v>
      </c>
      <c r="CM10" s="37" t="s">
        <v>178</v>
      </c>
      <c r="CN10" s="37" t="s">
        <v>166</v>
      </c>
      <c r="CO10" s="37" t="s">
        <v>178</v>
      </c>
      <c r="CP10" s="37" t="s">
        <v>148</v>
      </c>
      <c r="CQ10" s="37" t="s">
        <v>228</v>
      </c>
      <c r="CR10" s="100"/>
      <c r="CS10" s="37">
        <v>1983</v>
      </c>
      <c r="CT10" s="37" t="s">
        <v>166</v>
      </c>
      <c r="CU10" s="37" t="s">
        <v>178</v>
      </c>
      <c r="CV10" s="37" t="s">
        <v>450</v>
      </c>
      <c r="CW10" s="37" t="s">
        <v>178</v>
      </c>
      <c r="CX10" s="37" t="s">
        <v>166</v>
      </c>
      <c r="CY10" s="37" t="s">
        <v>178</v>
      </c>
      <c r="CZ10" s="37" t="s">
        <v>451</v>
      </c>
      <c r="DA10" s="37">
        <v>308.44</v>
      </c>
      <c r="DB10" s="37" t="s">
        <v>166</v>
      </c>
      <c r="DC10" s="37" t="s">
        <v>415</v>
      </c>
      <c r="DD10" s="37" t="s">
        <v>166</v>
      </c>
      <c r="DE10" s="37" t="s">
        <v>416</v>
      </c>
      <c r="DF10" s="37" t="s">
        <v>148</v>
      </c>
      <c r="DG10" s="101" t="s">
        <v>232</v>
      </c>
      <c r="DH10" s="37" t="s">
        <v>148</v>
      </c>
      <c r="DI10" s="37" t="s">
        <v>233</v>
      </c>
      <c r="DJ10" s="37" t="s">
        <v>234</v>
      </c>
      <c r="DK10" s="37" t="s">
        <v>235</v>
      </c>
      <c r="DL10" s="100"/>
      <c r="DM10" s="37" t="s">
        <v>418</v>
      </c>
      <c r="DN10" s="37" t="s">
        <v>166</v>
      </c>
      <c r="DO10" s="37" t="s">
        <v>178</v>
      </c>
      <c r="DP10" s="37" t="s">
        <v>166</v>
      </c>
      <c r="DQ10" s="37" t="s">
        <v>178</v>
      </c>
      <c r="DR10" s="37">
        <v>666798003</v>
      </c>
      <c r="DS10" s="37" t="s">
        <v>452</v>
      </c>
      <c r="DT10" s="105">
        <v>46062.232627314806</v>
      </c>
      <c r="DW10" s="37" t="s">
        <v>188</v>
      </c>
      <c r="DY10" s="37" t="s">
        <v>189</v>
      </c>
      <c r="EA10" s="37" t="s">
        <v>453</v>
      </c>
      <c r="EB10" s="37">
        <v>8</v>
      </c>
    </row>
    <row r="11" spans="1:195" s="37" customFormat="1" ht="58" x14ac:dyDescent="0.35">
      <c r="A11" s="37">
        <v>9</v>
      </c>
      <c r="B11" s="37" t="s">
        <v>454</v>
      </c>
      <c r="C11" s="37" t="s">
        <v>455</v>
      </c>
      <c r="D11" s="37" t="s">
        <v>456</v>
      </c>
      <c r="E11" s="37" t="s">
        <v>424</v>
      </c>
      <c r="F11" s="37">
        <v>8889904363</v>
      </c>
      <c r="G11" s="110" t="s">
        <v>457</v>
      </c>
      <c r="H11" s="37">
        <v>2018</v>
      </c>
      <c r="I11" s="37">
        <v>6000000</v>
      </c>
      <c r="J11" s="37">
        <v>2892955</v>
      </c>
      <c r="K11" s="37">
        <v>4874899</v>
      </c>
      <c r="L11" s="37">
        <v>5000370</v>
      </c>
      <c r="M11" s="37">
        <v>2935490</v>
      </c>
      <c r="N11" s="37">
        <v>4059662</v>
      </c>
      <c r="O11" s="37">
        <v>4256271</v>
      </c>
      <c r="P11" s="37">
        <v>7478</v>
      </c>
      <c r="Q11" s="37" t="s">
        <v>458</v>
      </c>
      <c r="R11" s="37" t="s">
        <v>427</v>
      </c>
      <c r="S11" s="100"/>
      <c r="T11" s="37" t="s">
        <v>459</v>
      </c>
      <c r="U11" s="37" t="s">
        <v>460</v>
      </c>
      <c r="V11" s="37" t="s">
        <v>461</v>
      </c>
      <c r="W11" s="100"/>
      <c r="X11" s="37">
        <v>698.43</v>
      </c>
      <c r="Y11" s="37" t="s">
        <v>148</v>
      </c>
      <c r="Z11" s="37" t="s">
        <v>462</v>
      </c>
      <c r="AA11" s="37" t="s">
        <v>463</v>
      </c>
      <c r="AB11" s="37" t="s">
        <v>148</v>
      </c>
      <c r="AC11" s="37" t="s">
        <v>363</v>
      </c>
      <c r="AD11" s="37" t="s">
        <v>464</v>
      </c>
      <c r="AE11" s="37" t="s">
        <v>465</v>
      </c>
      <c r="AF11" s="37" t="s">
        <v>466</v>
      </c>
      <c r="AG11" s="100"/>
      <c r="AH11" s="100"/>
      <c r="AI11" s="37" t="s">
        <v>467</v>
      </c>
      <c r="AJ11" s="37">
        <v>40</v>
      </c>
      <c r="AK11" s="37" t="s">
        <v>148</v>
      </c>
      <c r="AL11" s="122" t="s">
        <v>468</v>
      </c>
      <c r="AM11" s="37" t="s">
        <v>469</v>
      </c>
      <c r="AN11" s="37" t="s">
        <v>155</v>
      </c>
      <c r="AO11" s="37" t="s">
        <v>178</v>
      </c>
      <c r="AP11" s="37" t="s">
        <v>148</v>
      </c>
      <c r="AQ11" s="122" t="s">
        <v>470</v>
      </c>
      <c r="AR11" s="122" t="s">
        <v>471</v>
      </c>
      <c r="AS11" s="37" t="s">
        <v>472</v>
      </c>
      <c r="AT11" s="37">
        <v>72.12</v>
      </c>
      <c r="AU11" s="100"/>
      <c r="AV11" s="100"/>
      <c r="AW11" s="37" t="s">
        <v>473</v>
      </c>
      <c r="AX11" s="37" t="s">
        <v>474</v>
      </c>
      <c r="AY11" s="37" t="s">
        <v>475</v>
      </c>
      <c r="AZ11" s="37" t="s">
        <v>148</v>
      </c>
      <c r="BA11" s="37" t="s">
        <v>476</v>
      </c>
      <c r="BB11" s="37" t="s">
        <v>477</v>
      </c>
      <c r="BC11" s="37" t="s">
        <v>478</v>
      </c>
      <c r="BD11" s="37" t="s">
        <v>479</v>
      </c>
      <c r="BE11" s="37" t="s">
        <v>148</v>
      </c>
      <c r="BF11" s="37" t="s">
        <v>480</v>
      </c>
      <c r="BG11" s="100"/>
      <c r="BH11" s="100"/>
      <c r="BI11" s="100"/>
      <c r="BJ11" s="101" t="s">
        <v>382</v>
      </c>
      <c r="BK11" s="101" t="s">
        <v>382</v>
      </c>
      <c r="BL11" s="101" t="s">
        <v>382</v>
      </c>
      <c r="BM11" s="101" t="s">
        <v>382</v>
      </c>
      <c r="BN11" s="101" t="s">
        <v>382</v>
      </c>
      <c r="BO11" s="101" t="s">
        <v>382</v>
      </c>
      <c r="BP11" s="37" t="s">
        <v>148</v>
      </c>
      <c r="BQ11" s="37" t="s">
        <v>168</v>
      </c>
      <c r="BR11" s="37" t="s">
        <v>223</v>
      </c>
      <c r="BS11" s="37">
        <v>13</v>
      </c>
      <c r="BT11" s="37">
        <v>2018</v>
      </c>
      <c r="BU11" s="37">
        <v>68468</v>
      </c>
      <c r="BV11" s="37">
        <v>51.06</v>
      </c>
      <c r="BW11" s="37" t="s">
        <v>148</v>
      </c>
      <c r="BX11" s="37" t="s">
        <v>481</v>
      </c>
      <c r="BY11" s="37" t="s">
        <v>166</v>
      </c>
      <c r="BZ11" s="37" t="s">
        <v>178</v>
      </c>
      <c r="CA11" s="37" t="s">
        <v>451</v>
      </c>
      <c r="CB11" s="37">
        <v>636</v>
      </c>
      <c r="CC11" s="37" t="s">
        <v>166</v>
      </c>
      <c r="CD11" s="37" t="s">
        <v>178</v>
      </c>
      <c r="CE11" s="37" t="s">
        <v>175</v>
      </c>
      <c r="CF11" s="37" t="s">
        <v>166</v>
      </c>
      <c r="CG11" s="37" t="s">
        <v>227</v>
      </c>
      <c r="CH11" s="37" t="s">
        <v>166</v>
      </c>
      <c r="CI11" s="37" t="s">
        <v>178</v>
      </c>
      <c r="CJ11" s="37" t="s">
        <v>166</v>
      </c>
      <c r="CK11" s="37" t="s">
        <v>178</v>
      </c>
      <c r="CL11" s="37" t="s">
        <v>166</v>
      </c>
      <c r="CM11" s="37" t="s">
        <v>178</v>
      </c>
      <c r="CN11" s="37" t="s">
        <v>166</v>
      </c>
      <c r="CO11" s="37" t="s">
        <v>178</v>
      </c>
      <c r="CP11" s="37" t="s">
        <v>148</v>
      </c>
      <c r="CQ11" s="37" t="s">
        <v>228</v>
      </c>
      <c r="CR11" s="100"/>
      <c r="CS11" s="100"/>
      <c r="CT11" s="37" t="s">
        <v>166</v>
      </c>
      <c r="CU11" s="37" t="s">
        <v>178</v>
      </c>
      <c r="CV11" s="37" t="s">
        <v>482</v>
      </c>
      <c r="CW11" s="37" t="s">
        <v>178</v>
      </c>
      <c r="CX11" s="37" t="s">
        <v>178</v>
      </c>
      <c r="CY11" s="37" t="s">
        <v>178</v>
      </c>
      <c r="CZ11" s="37" t="s">
        <v>483</v>
      </c>
      <c r="DA11" s="100"/>
      <c r="DB11" s="37" t="s">
        <v>166</v>
      </c>
      <c r="DC11" s="37" t="s">
        <v>415</v>
      </c>
      <c r="DD11" s="37" t="s">
        <v>166</v>
      </c>
      <c r="DE11" s="37" t="s">
        <v>416</v>
      </c>
      <c r="DF11" s="37" t="s">
        <v>148</v>
      </c>
      <c r="DG11" s="101" t="s">
        <v>232</v>
      </c>
      <c r="DH11" s="37" t="s">
        <v>148</v>
      </c>
      <c r="DI11" s="100"/>
      <c r="DJ11" s="100"/>
      <c r="DK11" s="100"/>
      <c r="DL11" s="100"/>
      <c r="DM11" s="37" t="s">
        <v>418</v>
      </c>
      <c r="DN11" s="37" t="s">
        <v>166</v>
      </c>
      <c r="DO11" s="37" t="s">
        <v>178</v>
      </c>
      <c r="DP11" s="37" t="s">
        <v>166</v>
      </c>
      <c r="DQ11" s="37" t="s">
        <v>178</v>
      </c>
      <c r="DR11" s="37">
        <v>666903171</v>
      </c>
      <c r="DS11" s="37" t="s">
        <v>484</v>
      </c>
      <c r="DT11" s="105">
        <v>46062.320763888893</v>
      </c>
      <c r="DW11" s="37" t="s">
        <v>188</v>
      </c>
      <c r="DY11" s="37" t="s">
        <v>189</v>
      </c>
      <c r="EA11" s="37" t="s">
        <v>485</v>
      </c>
      <c r="EB11" s="37">
        <v>9</v>
      </c>
    </row>
    <row r="12" spans="1:195" s="37" customFormat="1" ht="43.5" x14ac:dyDescent="0.35">
      <c r="A12" s="37">
        <v>10</v>
      </c>
      <c r="B12" s="37" t="s">
        <v>486</v>
      </c>
      <c r="C12" s="37" t="s">
        <v>487</v>
      </c>
      <c r="D12" s="37" t="s">
        <v>488</v>
      </c>
      <c r="E12" s="37" t="s">
        <v>489</v>
      </c>
      <c r="F12" s="37">
        <v>9807886482</v>
      </c>
      <c r="G12" s="110" t="s">
        <v>490</v>
      </c>
      <c r="H12" s="37">
        <v>1983</v>
      </c>
      <c r="I12" s="37">
        <v>3100000</v>
      </c>
      <c r="J12" s="37">
        <v>2691550</v>
      </c>
      <c r="K12" s="37">
        <v>3017866</v>
      </c>
      <c r="L12" s="37">
        <v>2700736</v>
      </c>
      <c r="M12" s="37" t="s">
        <v>178</v>
      </c>
      <c r="N12" s="37" t="s">
        <v>178</v>
      </c>
      <c r="O12" s="37" t="s">
        <v>178</v>
      </c>
      <c r="P12" s="37">
        <v>6380</v>
      </c>
      <c r="Q12" s="37" t="s">
        <v>491</v>
      </c>
      <c r="R12" s="37" t="s">
        <v>492</v>
      </c>
      <c r="S12" s="37" t="s">
        <v>493</v>
      </c>
      <c r="T12" s="37" t="s">
        <v>494</v>
      </c>
      <c r="U12" s="37" t="s">
        <v>495</v>
      </c>
      <c r="V12" s="37" t="s">
        <v>496</v>
      </c>
      <c r="W12" s="100"/>
      <c r="X12" s="37">
        <v>740</v>
      </c>
      <c r="Y12" s="37" t="s">
        <v>148</v>
      </c>
      <c r="Z12" s="37" t="s">
        <v>497</v>
      </c>
      <c r="AA12" s="37" t="s">
        <v>498</v>
      </c>
      <c r="AB12" s="37" t="s">
        <v>148</v>
      </c>
      <c r="AC12" s="37" t="s">
        <v>175</v>
      </c>
      <c r="AD12" s="37" t="s">
        <v>499</v>
      </c>
      <c r="AE12" s="37">
        <v>175202.7</v>
      </c>
      <c r="AF12" s="37" t="s">
        <v>178</v>
      </c>
      <c r="AG12" s="37">
        <v>5971.2</v>
      </c>
      <c r="AH12" s="100"/>
      <c r="AI12" s="37" t="s">
        <v>500</v>
      </c>
      <c r="AJ12" s="37">
        <v>32.5</v>
      </c>
      <c r="AK12" s="37" t="s">
        <v>148</v>
      </c>
      <c r="AL12" s="122" t="s">
        <v>501</v>
      </c>
      <c r="AM12" s="37" t="s">
        <v>502</v>
      </c>
      <c r="AN12" s="37" t="s">
        <v>155</v>
      </c>
      <c r="AO12" s="37" t="s">
        <v>503</v>
      </c>
      <c r="AP12" s="37" t="s">
        <v>148</v>
      </c>
      <c r="AQ12" s="122" t="s">
        <v>504</v>
      </c>
      <c r="AR12" s="122" t="s">
        <v>505</v>
      </c>
      <c r="AS12" s="37" t="s">
        <v>506</v>
      </c>
      <c r="AT12" s="100"/>
      <c r="AU12" s="101" t="s">
        <v>507</v>
      </c>
      <c r="AV12" s="101" t="s">
        <v>507</v>
      </c>
      <c r="AW12" s="101" t="s">
        <v>508</v>
      </c>
      <c r="AX12" s="101" t="s">
        <v>509</v>
      </c>
      <c r="AY12" s="101" t="s">
        <v>510</v>
      </c>
      <c r="AZ12" s="37" t="s">
        <v>148</v>
      </c>
      <c r="BA12" s="37" t="s">
        <v>511</v>
      </c>
      <c r="BB12" s="37" t="s">
        <v>512</v>
      </c>
      <c r="BC12" s="37" t="s">
        <v>513</v>
      </c>
      <c r="BD12" s="37" t="s">
        <v>514</v>
      </c>
      <c r="BE12" s="37" t="s">
        <v>148</v>
      </c>
      <c r="BF12" s="37" t="s">
        <v>515</v>
      </c>
      <c r="BG12" s="37" t="s">
        <v>148</v>
      </c>
      <c r="BH12" s="37" t="s">
        <v>516</v>
      </c>
      <c r="BI12" s="37">
        <v>2022</v>
      </c>
      <c r="BJ12" s="37" t="s">
        <v>148</v>
      </c>
      <c r="BK12" s="37" t="s">
        <v>148</v>
      </c>
      <c r="BL12" s="37" t="s">
        <v>148</v>
      </c>
      <c r="BM12" s="37" t="s">
        <v>148</v>
      </c>
      <c r="BN12" s="37" t="s">
        <v>148</v>
      </c>
      <c r="BO12" s="37" t="s">
        <v>517</v>
      </c>
      <c r="BP12" s="37" t="s">
        <v>148</v>
      </c>
      <c r="BQ12" s="37" t="s">
        <v>168</v>
      </c>
      <c r="BR12" s="37" t="s">
        <v>223</v>
      </c>
      <c r="BS12" s="37">
        <v>15</v>
      </c>
      <c r="BT12" s="37">
        <v>2016</v>
      </c>
      <c r="BU12" s="37">
        <v>52969.5</v>
      </c>
      <c r="BV12" s="37">
        <v>66.239999999999995</v>
      </c>
      <c r="BW12" s="37" t="s">
        <v>148</v>
      </c>
      <c r="BX12" s="37" t="s">
        <v>518</v>
      </c>
      <c r="BY12" s="37" t="s">
        <v>148</v>
      </c>
      <c r="BZ12" s="100"/>
      <c r="CA12" s="37" t="s">
        <v>519</v>
      </c>
      <c r="CB12" s="37" t="s">
        <v>520</v>
      </c>
      <c r="CC12" s="37" t="s">
        <v>166</v>
      </c>
      <c r="CD12" s="37" t="s">
        <v>178</v>
      </c>
      <c r="CE12" s="37" t="s">
        <v>175</v>
      </c>
      <c r="CF12" s="37" t="s">
        <v>521</v>
      </c>
      <c r="CG12" s="37" t="s">
        <v>227</v>
      </c>
      <c r="CH12" s="37" t="s">
        <v>148</v>
      </c>
      <c r="CI12" s="37" t="s">
        <v>522</v>
      </c>
      <c r="CJ12" s="37" t="s">
        <v>357</v>
      </c>
      <c r="CK12" s="37" t="s">
        <v>178</v>
      </c>
      <c r="CL12" s="37" t="s">
        <v>166</v>
      </c>
      <c r="CM12" s="37" t="s">
        <v>178</v>
      </c>
      <c r="CN12" s="37" t="s">
        <v>166</v>
      </c>
      <c r="CO12" s="37" t="s">
        <v>178</v>
      </c>
      <c r="CP12" s="37" t="s">
        <v>166</v>
      </c>
      <c r="CQ12" s="37" t="s">
        <v>178</v>
      </c>
      <c r="CR12" s="37" t="s">
        <v>178</v>
      </c>
      <c r="CS12" s="37" t="s">
        <v>178</v>
      </c>
      <c r="CT12" s="37" t="s">
        <v>148</v>
      </c>
      <c r="CU12" s="37" t="s">
        <v>523</v>
      </c>
      <c r="CV12" s="37" t="s">
        <v>524</v>
      </c>
      <c r="CW12" s="100"/>
      <c r="CX12" s="37" t="s">
        <v>166</v>
      </c>
      <c r="CY12" s="37" t="s">
        <v>178</v>
      </c>
      <c r="CZ12" s="37" t="s">
        <v>525</v>
      </c>
      <c r="DA12" s="37" t="s">
        <v>526</v>
      </c>
      <c r="DB12" s="37" t="s">
        <v>166</v>
      </c>
      <c r="DC12" s="37" t="s">
        <v>178</v>
      </c>
      <c r="DD12" s="37" t="s">
        <v>166</v>
      </c>
      <c r="DE12" s="37" t="s">
        <v>178</v>
      </c>
      <c r="DF12" s="37" t="s">
        <v>166</v>
      </c>
      <c r="DG12" s="101" t="s">
        <v>178</v>
      </c>
      <c r="DH12" s="37" t="s">
        <v>148</v>
      </c>
      <c r="DI12" s="100"/>
      <c r="DJ12" s="37" t="s">
        <v>527</v>
      </c>
      <c r="DK12" s="100"/>
      <c r="DL12" s="37" t="s">
        <v>528</v>
      </c>
      <c r="DM12" s="100"/>
      <c r="DN12" s="100"/>
      <c r="DO12" s="100"/>
      <c r="DP12" s="100"/>
      <c r="DQ12" s="100"/>
      <c r="DR12" s="37">
        <v>672799199</v>
      </c>
      <c r="DS12" s="37" t="s">
        <v>529</v>
      </c>
      <c r="DT12" s="105">
        <v>46069.238692129627</v>
      </c>
      <c r="DW12" s="37" t="s">
        <v>188</v>
      </c>
      <c r="DY12" s="37" t="s">
        <v>189</v>
      </c>
      <c r="EA12" s="37" t="s">
        <v>530</v>
      </c>
      <c r="EB12" s="37">
        <v>10</v>
      </c>
    </row>
    <row r="13" spans="1:195" s="37" customFormat="1" x14ac:dyDescent="0.35">
      <c r="A13" s="37">
        <v>11</v>
      </c>
      <c r="B13" s="37" t="s">
        <v>531</v>
      </c>
      <c r="C13" s="37" t="s">
        <v>532</v>
      </c>
      <c r="D13" s="37" t="s">
        <v>533</v>
      </c>
      <c r="E13" s="37" t="s">
        <v>534</v>
      </c>
      <c r="F13" s="37">
        <v>9893405218</v>
      </c>
      <c r="G13" s="110" t="s">
        <v>535</v>
      </c>
      <c r="H13" s="37">
        <v>1923</v>
      </c>
      <c r="I13" s="37">
        <v>1815000</v>
      </c>
      <c r="J13" s="37">
        <v>1167062</v>
      </c>
      <c r="K13" s="37">
        <v>1297852</v>
      </c>
      <c r="L13" s="37">
        <v>144951</v>
      </c>
      <c r="M13" s="100"/>
      <c r="N13" s="37">
        <v>2181720</v>
      </c>
      <c r="O13" s="37">
        <v>2199396</v>
      </c>
      <c r="P13" s="100"/>
      <c r="Q13" s="37" t="s">
        <v>536</v>
      </c>
      <c r="R13" s="37" t="s">
        <v>178</v>
      </c>
      <c r="S13" s="37" t="s">
        <v>178</v>
      </c>
      <c r="T13" s="37" t="s">
        <v>178</v>
      </c>
      <c r="U13" s="37" t="s">
        <v>178</v>
      </c>
      <c r="V13" s="37" t="s">
        <v>178</v>
      </c>
      <c r="W13" s="37" t="s">
        <v>178</v>
      </c>
      <c r="X13" s="37" t="s">
        <v>178</v>
      </c>
      <c r="Y13" s="37" t="s">
        <v>148</v>
      </c>
      <c r="Z13" s="101" t="s">
        <v>537</v>
      </c>
      <c r="AA13" s="101" t="s">
        <v>537</v>
      </c>
      <c r="AB13" s="37" t="s">
        <v>148</v>
      </c>
      <c r="AC13" s="37" t="s">
        <v>175</v>
      </c>
      <c r="AD13" s="37">
        <v>1450</v>
      </c>
      <c r="AE13" s="100"/>
      <c r="AF13" s="100"/>
      <c r="AG13" s="100"/>
      <c r="AH13" s="100"/>
      <c r="AI13" s="37" t="s">
        <v>538</v>
      </c>
      <c r="AJ13" s="100"/>
      <c r="AK13" s="37" t="s">
        <v>148</v>
      </c>
      <c r="AL13" s="37" t="s">
        <v>539</v>
      </c>
      <c r="AM13" s="100"/>
      <c r="AN13" s="37" t="s">
        <v>155</v>
      </c>
      <c r="AO13" s="37" t="s">
        <v>540</v>
      </c>
      <c r="AP13" s="37" t="s">
        <v>166</v>
      </c>
      <c r="AQ13" s="37" t="s">
        <v>178</v>
      </c>
      <c r="AR13" s="37" t="s">
        <v>178</v>
      </c>
      <c r="AS13" s="37" t="s">
        <v>178</v>
      </c>
      <c r="AT13" s="102">
        <v>0.61519999999999997</v>
      </c>
      <c r="AU13" s="37" t="s">
        <v>541</v>
      </c>
      <c r="AV13" s="37" t="s">
        <v>542</v>
      </c>
      <c r="AW13" s="101" t="s">
        <v>543</v>
      </c>
      <c r="AX13" s="101" t="s">
        <v>544</v>
      </c>
      <c r="AY13" s="100"/>
      <c r="AZ13" s="100"/>
      <c r="BA13" s="100"/>
      <c r="BB13" s="100"/>
      <c r="BC13" s="100"/>
      <c r="BD13" s="100"/>
      <c r="BE13" s="37" t="s">
        <v>148</v>
      </c>
      <c r="BF13" s="100"/>
      <c r="BG13" s="37" t="s">
        <v>166</v>
      </c>
      <c r="BH13" s="37" t="s">
        <v>178</v>
      </c>
      <c r="BI13" s="37" t="s">
        <v>178</v>
      </c>
      <c r="BJ13" s="37" t="s">
        <v>148</v>
      </c>
      <c r="BK13" s="37" t="s">
        <v>148</v>
      </c>
      <c r="BL13" s="37" t="s">
        <v>148</v>
      </c>
      <c r="BM13" s="37" t="s">
        <v>148</v>
      </c>
      <c r="BN13" s="37" t="s">
        <v>166</v>
      </c>
      <c r="BO13" s="37" t="s">
        <v>178</v>
      </c>
      <c r="BP13" s="37" t="s">
        <v>148</v>
      </c>
      <c r="BQ13" s="37" t="s">
        <v>168</v>
      </c>
      <c r="BR13" s="37" t="s">
        <v>223</v>
      </c>
      <c r="BS13" s="115">
        <v>55169</v>
      </c>
      <c r="BT13" s="37">
        <v>2022</v>
      </c>
      <c r="BU13" s="100"/>
      <c r="BV13" s="101" t="s">
        <v>382</v>
      </c>
      <c r="BW13" s="37" t="s">
        <v>166</v>
      </c>
      <c r="BX13" s="37" t="s">
        <v>178</v>
      </c>
      <c r="BY13" s="37" t="s">
        <v>148</v>
      </c>
      <c r="BZ13" s="37" t="s">
        <v>545</v>
      </c>
      <c r="CA13" s="37" t="s">
        <v>546</v>
      </c>
      <c r="CB13" s="37" t="s">
        <v>547</v>
      </c>
      <c r="CC13" s="37" t="s">
        <v>148</v>
      </c>
      <c r="CD13" s="37" t="s">
        <v>548</v>
      </c>
      <c r="CE13" s="37" t="s">
        <v>175</v>
      </c>
      <c r="CF13" s="37" t="s">
        <v>166</v>
      </c>
      <c r="CG13" s="37" t="s">
        <v>227</v>
      </c>
      <c r="CH13" s="37" t="s">
        <v>166</v>
      </c>
      <c r="CI13" s="37" t="s">
        <v>178</v>
      </c>
      <c r="CJ13" s="37" t="s">
        <v>357</v>
      </c>
      <c r="CK13" s="37" t="s">
        <v>178</v>
      </c>
      <c r="CL13" s="37" t="s">
        <v>166</v>
      </c>
      <c r="CM13" s="37" t="s">
        <v>178</v>
      </c>
      <c r="CN13" s="37" t="s">
        <v>148</v>
      </c>
      <c r="CO13" s="37" t="s">
        <v>549</v>
      </c>
      <c r="CP13" s="37" t="s">
        <v>166</v>
      </c>
      <c r="CQ13" s="37" t="s">
        <v>178</v>
      </c>
      <c r="CR13" s="37" t="s">
        <v>178</v>
      </c>
      <c r="CS13" s="37" t="s">
        <v>178</v>
      </c>
      <c r="CT13" s="37" t="s">
        <v>148</v>
      </c>
      <c r="CU13" s="37" t="s">
        <v>550</v>
      </c>
      <c r="CV13" s="37" t="s">
        <v>551</v>
      </c>
      <c r="CW13" s="37" t="s">
        <v>178</v>
      </c>
      <c r="CX13" s="37" t="s">
        <v>178</v>
      </c>
      <c r="CY13" s="37" t="s">
        <v>178</v>
      </c>
      <c r="CZ13" s="37" t="s">
        <v>168</v>
      </c>
      <c r="DA13" s="37">
        <v>117.53</v>
      </c>
      <c r="DB13" s="37" t="s">
        <v>166</v>
      </c>
      <c r="DC13" s="37" t="s">
        <v>178</v>
      </c>
      <c r="DD13" s="37" t="s">
        <v>166</v>
      </c>
      <c r="DE13" s="37" t="s">
        <v>178</v>
      </c>
      <c r="DF13" s="37" t="s">
        <v>148</v>
      </c>
      <c r="DG13" s="100"/>
      <c r="DH13" s="37" t="s">
        <v>148</v>
      </c>
      <c r="DI13" s="37" t="s">
        <v>363</v>
      </c>
      <c r="DJ13" s="100"/>
      <c r="DK13" s="100"/>
      <c r="DL13" s="100"/>
      <c r="DM13" s="100"/>
      <c r="DN13" s="37" t="s">
        <v>166</v>
      </c>
      <c r="DO13" s="37" t="s">
        <v>178</v>
      </c>
      <c r="DP13" s="37" t="s">
        <v>166</v>
      </c>
      <c r="DQ13" s="37" t="s">
        <v>178</v>
      </c>
      <c r="DR13" s="37">
        <v>672823565</v>
      </c>
      <c r="DS13" s="37" t="s">
        <v>552</v>
      </c>
      <c r="DT13" s="105">
        <v>46069.265439814822</v>
      </c>
      <c r="DW13" s="37" t="s">
        <v>188</v>
      </c>
      <c r="DY13" s="37" t="s">
        <v>189</v>
      </c>
      <c r="EA13" s="37" t="s">
        <v>553</v>
      </c>
      <c r="EB13" s="37">
        <v>11</v>
      </c>
    </row>
    <row r="14" spans="1:195" s="37" customFormat="1" ht="29" x14ac:dyDescent="0.35">
      <c r="A14" s="37">
        <v>12</v>
      </c>
      <c r="B14" s="37" t="s">
        <v>554</v>
      </c>
      <c r="C14" s="37" t="s">
        <v>324</v>
      </c>
      <c r="D14" s="37" t="s">
        <v>555</v>
      </c>
      <c r="E14" s="37" t="s">
        <v>556</v>
      </c>
      <c r="F14" s="37">
        <v>8236989201</v>
      </c>
      <c r="G14" s="37" t="s">
        <v>557</v>
      </c>
      <c r="H14" s="37">
        <v>1960</v>
      </c>
      <c r="I14" s="37">
        <v>3400000</v>
      </c>
      <c r="J14" s="37">
        <v>2781916</v>
      </c>
      <c r="K14" s="37">
        <v>2862114</v>
      </c>
      <c r="L14" s="37">
        <v>2940960</v>
      </c>
      <c r="M14" s="37">
        <v>2705599</v>
      </c>
      <c r="N14" s="37">
        <v>2697284</v>
      </c>
      <c r="O14" s="37">
        <v>2473468</v>
      </c>
      <c r="P14" s="37">
        <v>7967</v>
      </c>
      <c r="Q14" s="37" t="s">
        <v>558</v>
      </c>
      <c r="R14" s="37" t="s">
        <v>559</v>
      </c>
      <c r="S14" s="37" t="s">
        <v>560</v>
      </c>
      <c r="T14" s="37" t="s">
        <v>561</v>
      </c>
      <c r="U14" s="37" t="s">
        <v>562</v>
      </c>
      <c r="V14" s="37" t="s">
        <v>563</v>
      </c>
      <c r="W14" s="100"/>
      <c r="X14" s="37">
        <v>775.59</v>
      </c>
      <c r="Y14" s="37" t="s">
        <v>148</v>
      </c>
      <c r="Z14" s="37" t="s">
        <v>564</v>
      </c>
      <c r="AA14" s="37" t="s">
        <v>565</v>
      </c>
      <c r="AB14" s="37" t="s">
        <v>148</v>
      </c>
      <c r="AC14" s="37" t="s">
        <v>175</v>
      </c>
      <c r="AD14" s="37" t="s">
        <v>566</v>
      </c>
      <c r="AE14" s="37">
        <v>258405.9</v>
      </c>
      <c r="AF14" s="37">
        <v>71769.87</v>
      </c>
      <c r="AG14" s="100"/>
      <c r="AH14" s="37">
        <v>27224.9</v>
      </c>
      <c r="AI14" s="37" t="s">
        <v>567</v>
      </c>
      <c r="AJ14" s="37">
        <v>44</v>
      </c>
      <c r="AK14" s="37" t="s">
        <v>148</v>
      </c>
      <c r="AL14" s="122" t="s">
        <v>568</v>
      </c>
      <c r="AM14" s="37" t="s">
        <v>569</v>
      </c>
      <c r="AN14" s="37" t="s">
        <v>155</v>
      </c>
      <c r="AO14" s="37" t="s">
        <v>178</v>
      </c>
      <c r="AP14" s="37" t="s">
        <v>166</v>
      </c>
      <c r="AQ14" s="37" t="s">
        <v>178</v>
      </c>
      <c r="AR14" s="37" t="s">
        <v>178</v>
      </c>
      <c r="AS14" s="37" t="s">
        <v>178</v>
      </c>
      <c r="AT14" s="37">
        <v>66.44</v>
      </c>
      <c r="AU14" s="37" t="s">
        <v>570</v>
      </c>
      <c r="AV14" s="37" t="s">
        <v>571</v>
      </c>
      <c r="AW14" s="37" t="s">
        <v>572</v>
      </c>
      <c r="AX14" s="37" t="s">
        <v>573</v>
      </c>
      <c r="AY14" s="37" t="s">
        <v>574</v>
      </c>
      <c r="AZ14" s="37" t="s">
        <v>166</v>
      </c>
      <c r="BA14" s="37" t="s">
        <v>178</v>
      </c>
      <c r="BB14" s="37" t="s">
        <v>178</v>
      </c>
      <c r="BC14" s="37" t="s">
        <v>178</v>
      </c>
      <c r="BD14" s="37" t="s">
        <v>178</v>
      </c>
      <c r="BE14" s="37" t="s">
        <v>148</v>
      </c>
      <c r="BF14" s="37" t="s">
        <v>575</v>
      </c>
      <c r="BG14" s="37" t="s">
        <v>148</v>
      </c>
      <c r="BH14" s="37" t="s">
        <v>576</v>
      </c>
      <c r="BI14" s="37">
        <v>2023</v>
      </c>
      <c r="BJ14" s="101" t="s">
        <v>382</v>
      </c>
      <c r="BK14" s="101" t="s">
        <v>382</v>
      </c>
      <c r="BL14" s="101" t="s">
        <v>382</v>
      </c>
      <c r="BM14" s="101" t="s">
        <v>382</v>
      </c>
      <c r="BN14" s="101" t="s">
        <v>382</v>
      </c>
      <c r="BO14" s="101" t="s">
        <v>382</v>
      </c>
      <c r="BP14" s="37" t="s">
        <v>148</v>
      </c>
      <c r="BQ14" s="37" t="s">
        <v>168</v>
      </c>
      <c r="BR14" s="37" t="s">
        <v>577</v>
      </c>
      <c r="BS14" s="37">
        <v>7.5</v>
      </c>
      <c r="BT14" s="37">
        <v>2010</v>
      </c>
      <c r="BU14" s="37">
        <v>28357366</v>
      </c>
      <c r="BV14" s="37">
        <v>68.430000000000007</v>
      </c>
      <c r="BW14" s="37" t="s">
        <v>148</v>
      </c>
      <c r="BX14" s="37" t="s">
        <v>578</v>
      </c>
      <c r="BY14" s="37" t="s">
        <v>148</v>
      </c>
      <c r="BZ14" s="100"/>
      <c r="CA14" s="37" t="s">
        <v>579</v>
      </c>
      <c r="CB14" s="37" t="s">
        <v>580</v>
      </c>
      <c r="CC14" s="37" t="s">
        <v>166</v>
      </c>
      <c r="CD14" s="37" t="s">
        <v>178</v>
      </c>
      <c r="CE14" s="37" t="s">
        <v>175</v>
      </c>
      <c r="CF14" s="37" t="s">
        <v>166</v>
      </c>
      <c r="CG14" s="37" t="s">
        <v>227</v>
      </c>
      <c r="CH14" s="37" t="s">
        <v>148</v>
      </c>
      <c r="CI14" s="37" t="s">
        <v>581</v>
      </c>
      <c r="CJ14" s="37" t="s">
        <v>357</v>
      </c>
      <c r="CK14" s="37" t="s">
        <v>178</v>
      </c>
      <c r="CL14" s="37" t="s">
        <v>166</v>
      </c>
      <c r="CM14" s="37" t="s">
        <v>178</v>
      </c>
      <c r="CN14" s="37" t="s">
        <v>166</v>
      </c>
      <c r="CO14" s="37" t="s">
        <v>178</v>
      </c>
      <c r="CP14" s="37" t="s">
        <v>166</v>
      </c>
      <c r="CQ14" s="37" t="s">
        <v>178</v>
      </c>
      <c r="CR14" s="37" t="s">
        <v>178</v>
      </c>
      <c r="CS14" s="37" t="s">
        <v>178</v>
      </c>
      <c r="CT14" s="37" t="s">
        <v>166</v>
      </c>
      <c r="CU14" s="37" t="s">
        <v>178</v>
      </c>
      <c r="CV14" s="37" t="s">
        <v>582</v>
      </c>
      <c r="CW14" s="37" t="s">
        <v>178</v>
      </c>
      <c r="CX14" s="37" t="s">
        <v>166</v>
      </c>
      <c r="CY14" s="37" t="s">
        <v>178</v>
      </c>
      <c r="CZ14" s="37" t="s">
        <v>583</v>
      </c>
      <c r="DA14" s="37" t="s">
        <v>584</v>
      </c>
      <c r="DB14" s="37" t="s">
        <v>166</v>
      </c>
      <c r="DC14" s="37" t="s">
        <v>178</v>
      </c>
      <c r="DD14" s="37" t="s">
        <v>166</v>
      </c>
      <c r="DE14" s="37" t="s">
        <v>178</v>
      </c>
      <c r="DF14" s="37" t="s">
        <v>166</v>
      </c>
      <c r="DG14" s="37" t="s">
        <v>178</v>
      </c>
      <c r="DH14" s="37" t="s">
        <v>148</v>
      </c>
      <c r="DI14" s="37" t="s">
        <v>585</v>
      </c>
      <c r="DJ14" s="37" t="s">
        <v>586</v>
      </c>
      <c r="DK14" s="37" t="s">
        <v>587</v>
      </c>
      <c r="DL14" s="37" t="s">
        <v>588</v>
      </c>
      <c r="DM14" s="100"/>
      <c r="DN14" s="37" t="s">
        <v>166</v>
      </c>
      <c r="DO14" s="37" t="s">
        <v>178</v>
      </c>
      <c r="DP14" s="100"/>
      <c r="DQ14" s="100"/>
      <c r="DR14" s="37">
        <v>677346968</v>
      </c>
      <c r="DS14" s="37" t="s">
        <v>589</v>
      </c>
      <c r="DT14" s="105">
        <v>46075.372997685183</v>
      </c>
      <c r="DW14" s="37" t="s">
        <v>188</v>
      </c>
      <c r="DY14" s="37" t="s">
        <v>189</v>
      </c>
      <c r="EA14" s="37" t="s">
        <v>590</v>
      </c>
      <c r="EB14" s="37">
        <v>12</v>
      </c>
    </row>
    <row r="15" spans="1:195" x14ac:dyDescent="0.35">
      <c r="Y15" s="4"/>
      <c r="Z15" s="4"/>
      <c r="AA15" s="4"/>
      <c r="AE15" s="4"/>
      <c r="AJ15" s="4"/>
      <c r="AO15" s="4"/>
      <c r="AS15" s="4"/>
      <c r="BJ15" s="4"/>
      <c r="BK15" s="4"/>
      <c r="BL15" s="4"/>
      <c r="BM15" s="4"/>
      <c r="BN15" s="4"/>
      <c r="BU15" s="4"/>
      <c r="BV15" s="4"/>
      <c r="BZ15" s="4"/>
      <c r="CQ15" s="4"/>
      <c r="CX15" s="4"/>
      <c r="DD15" s="4"/>
      <c r="DE15" s="4"/>
      <c r="DG15" s="4"/>
      <c r="DI15" s="4"/>
      <c r="DJ15" s="4"/>
      <c r="DL15" s="4"/>
      <c r="DP15" s="4"/>
    </row>
    <row r="16" spans="1:195" x14ac:dyDescent="0.35">
      <c r="Y16" s="4"/>
      <c r="Z16" s="4"/>
      <c r="AA16" s="4"/>
      <c r="AE16" s="4"/>
      <c r="AJ16" s="4"/>
      <c r="AO16" s="4"/>
      <c r="AS16" s="4"/>
      <c r="BJ16" s="4"/>
      <c r="BK16" s="4"/>
      <c r="BL16" s="4"/>
      <c r="BM16" s="4"/>
      <c r="BN16" s="4"/>
      <c r="BU16" s="4"/>
      <c r="BV16" s="4"/>
      <c r="BZ16" s="4"/>
      <c r="CQ16" s="4"/>
      <c r="CX16" s="4"/>
      <c r="DD16" s="4"/>
      <c r="DE16" s="4"/>
      <c r="DG16" s="4"/>
      <c r="DI16" s="4"/>
      <c r="DJ16" s="4"/>
      <c r="DL16" s="4"/>
      <c r="DP16" s="4"/>
    </row>
    <row r="17" s="4" customFormat="1" x14ac:dyDescent="0.35"/>
    <row r="18" s="4" customFormat="1" x14ac:dyDescent="0.35"/>
    <row r="19" s="4" customFormat="1" x14ac:dyDescent="0.35"/>
    <row r="20" s="4" customFormat="1" x14ac:dyDescent="0.35"/>
    <row r="21" s="4" customFormat="1" x14ac:dyDescent="0.35"/>
    <row r="22" s="4" customFormat="1" x14ac:dyDescent="0.35"/>
    <row r="23" s="4" customFormat="1" x14ac:dyDescent="0.35"/>
    <row r="24" s="4" customFormat="1" x14ac:dyDescent="0.35"/>
    <row r="25" s="4" customFormat="1" x14ac:dyDescent="0.35"/>
    <row r="26" s="4" customFormat="1" x14ac:dyDescent="0.35"/>
    <row r="27" s="4" customFormat="1" x14ac:dyDescent="0.35"/>
    <row r="28" s="4" customFormat="1" x14ac:dyDescent="0.35"/>
    <row r="29" s="4" customFormat="1" x14ac:dyDescent="0.35"/>
    <row r="30" s="4" customFormat="1" x14ac:dyDescent="0.35"/>
    <row r="31" s="4" customFormat="1" x14ac:dyDescent="0.35"/>
    <row r="32" s="4" customFormat="1" x14ac:dyDescent="0.35"/>
    <row r="33" s="4" customFormat="1" x14ac:dyDescent="0.35"/>
    <row r="34" s="4" customFormat="1" x14ac:dyDescent="0.35"/>
    <row r="35" s="4" customFormat="1" x14ac:dyDescent="0.35"/>
    <row r="36" s="4" customFormat="1" x14ac:dyDescent="0.35"/>
    <row r="37" s="4" customFormat="1" x14ac:dyDescent="0.35"/>
    <row r="38" s="4" customFormat="1" x14ac:dyDescent="0.35"/>
    <row r="39" s="4" customFormat="1" x14ac:dyDescent="0.35"/>
    <row r="40" s="4" customFormat="1" x14ac:dyDescent="0.35"/>
    <row r="41" s="4" customFormat="1" x14ac:dyDescent="0.35"/>
    <row r="42" s="4" customFormat="1" x14ac:dyDescent="0.35"/>
    <row r="43" s="4" customFormat="1" x14ac:dyDescent="0.35"/>
    <row r="44" s="4" customFormat="1" x14ac:dyDescent="0.35"/>
    <row r="45" s="4" customFormat="1" x14ac:dyDescent="0.35"/>
    <row r="46" s="4" customFormat="1" x14ac:dyDescent="0.35"/>
    <row r="47" s="4" customFormat="1" x14ac:dyDescent="0.35"/>
    <row r="48" s="4" customFormat="1" x14ac:dyDescent="0.35"/>
    <row r="49" s="4" customFormat="1" x14ac:dyDescent="0.35"/>
    <row r="50" s="4" customFormat="1" x14ac:dyDescent="0.35"/>
    <row r="51" s="4" customFormat="1" x14ac:dyDescent="0.35"/>
    <row r="52" s="4" customFormat="1" x14ac:dyDescent="0.35"/>
    <row r="53" s="4" customFormat="1" x14ac:dyDescent="0.35"/>
    <row r="54" s="4" customFormat="1" x14ac:dyDescent="0.35"/>
    <row r="55" s="4" customFormat="1" x14ac:dyDescent="0.35"/>
    <row r="56" s="4" customFormat="1" x14ac:dyDescent="0.35"/>
    <row r="57" s="4" customFormat="1" x14ac:dyDescent="0.35"/>
    <row r="58" s="4" customFormat="1" x14ac:dyDescent="0.35"/>
    <row r="59" s="4" customFormat="1" x14ac:dyDescent="0.35"/>
    <row r="60" s="4" customFormat="1" x14ac:dyDescent="0.35"/>
    <row r="61" s="4" customFormat="1" x14ac:dyDescent="0.35"/>
    <row r="62" s="4" customFormat="1" x14ac:dyDescent="0.35"/>
    <row r="63" s="4" customFormat="1" x14ac:dyDescent="0.35"/>
    <row r="64" s="4" customFormat="1" x14ac:dyDescent="0.35"/>
    <row r="65" s="4" customFormat="1" x14ac:dyDescent="0.35"/>
    <row r="66" s="4" customFormat="1" x14ac:dyDescent="0.35"/>
    <row r="67" s="4" customFormat="1" x14ac:dyDescent="0.35"/>
    <row r="68" s="4" customFormat="1" x14ac:dyDescent="0.35"/>
    <row r="69" s="4" customFormat="1" x14ac:dyDescent="0.35"/>
    <row r="70" s="4" customFormat="1" x14ac:dyDescent="0.35"/>
    <row r="71" s="4" customFormat="1" x14ac:dyDescent="0.35"/>
    <row r="72" s="4" customFormat="1" x14ac:dyDescent="0.35"/>
    <row r="73" s="4" customFormat="1" x14ac:dyDescent="0.35"/>
    <row r="74" s="4" customFormat="1" x14ac:dyDescent="0.35"/>
    <row r="75" s="4" customFormat="1" x14ac:dyDescent="0.35"/>
    <row r="76" s="4" customFormat="1" x14ac:dyDescent="0.35"/>
    <row r="77" s="4" customFormat="1" x14ac:dyDescent="0.35"/>
    <row r="78" s="4" customFormat="1" x14ac:dyDescent="0.35"/>
    <row r="79" s="4" customFormat="1" x14ac:dyDescent="0.35"/>
    <row r="80" s="4" customFormat="1" x14ac:dyDescent="0.35"/>
    <row r="81" s="4" customFormat="1" x14ac:dyDescent="0.35"/>
    <row r="82" s="4" customFormat="1" x14ac:dyDescent="0.35"/>
    <row r="83" s="4" customFormat="1" x14ac:dyDescent="0.35"/>
    <row r="84" s="4" customFormat="1" x14ac:dyDescent="0.35"/>
    <row r="85" s="4" customFormat="1" x14ac:dyDescent="0.35"/>
    <row r="86" s="4" customFormat="1" x14ac:dyDescent="0.35"/>
    <row r="87" s="4" customFormat="1" x14ac:dyDescent="0.35"/>
    <row r="88" s="4" customFormat="1" x14ac:dyDescent="0.35"/>
    <row r="89" s="4" customFormat="1" x14ac:dyDescent="0.35"/>
    <row r="90" s="4" customFormat="1" x14ac:dyDescent="0.35"/>
    <row r="91" s="4" customFormat="1" x14ac:dyDescent="0.35"/>
    <row r="92" s="4" customFormat="1" x14ac:dyDescent="0.35"/>
    <row r="93" s="4" customFormat="1" x14ac:dyDescent="0.35"/>
    <row r="94" s="4" customFormat="1" x14ac:dyDescent="0.35"/>
    <row r="95" s="4" customFormat="1" x14ac:dyDescent="0.35"/>
    <row r="96" s="4" customFormat="1" x14ac:dyDescent="0.35"/>
    <row r="97" s="4" customFormat="1" x14ac:dyDescent="0.35"/>
    <row r="98" s="4" customFormat="1" x14ac:dyDescent="0.35"/>
    <row r="99" s="4" customFormat="1" x14ac:dyDescent="0.35"/>
    <row r="100" s="4" customFormat="1" x14ac:dyDescent="0.35"/>
    <row r="101" s="4" customFormat="1" x14ac:dyDescent="0.35"/>
    <row r="102" s="4" customFormat="1" x14ac:dyDescent="0.35"/>
    <row r="103" s="4" customFormat="1" x14ac:dyDescent="0.35"/>
    <row r="104" s="4" customFormat="1" x14ac:dyDescent="0.35"/>
    <row r="105" s="4" customFormat="1" x14ac:dyDescent="0.35"/>
    <row r="106" s="4" customFormat="1" x14ac:dyDescent="0.35"/>
    <row r="107" s="4" customFormat="1" x14ac:dyDescent="0.35"/>
    <row r="108" s="4" customFormat="1" x14ac:dyDescent="0.35"/>
    <row r="109" s="4" customFormat="1" x14ac:dyDescent="0.35"/>
    <row r="110" s="4" customFormat="1" x14ac:dyDescent="0.35"/>
    <row r="111" s="4" customFormat="1" x14ac:dyDescent="0.35"/>
    <row r="112" s="4" customFormat="1" x14ac:dyDescent="0.35"/>
    <row r="113" s="4" customFormat="1" x14ac:dyDescent="0.35"/>
    <row r="114" s="4" customFormat="1" x14ac:dyDescent="0.35"/>
    <row r="115" s="4" customFormat="1" x14ac:dyDescent="0.35"/>
    <row r="116" s="4" customFormat="1" x14ac:dyDescent="0.35"/>
    <row r="117" s="4" customFormat="1" x14ac:dyDescent="0.35"/>
    <row r="118" s="4" customFormat="1" x14ac:dyDescent="0.35"/>
    <row r="119" s="4" customFormat="1" x14ac:dyDescent="0.35"/>
    <row r="120" s="4" customFormat="1" x14ac:dyDescent="0.35"/>
    <row r="121" s="4" customFormat="1" x14ac:dyDescent="0.35"/>
    <row r="122" s="4" customFormat="1" x14ac:dyDescent="0.35"/>
    <row r="123" s="4" customFormat="1" x14ac:dyDescent="0.35"/>
    <row r="124" s="4" customFormat="1" x14ac:dyDescent="0.35"/>
    <row r="125" s="4" customFormat="1" x14ac:dyDescent="0.35"/>
    <row r="126" s="4" customFormat="1" x14ac:dyDescent="0.35"/>
    <row r="127" s="4" customFormat="1" x14ac:dyDescent="0.35"/>
    <row r="128" s="4" customFormat="1" x14ac:dyDescent="0.35"/>
    <row r="129" s="4" customFormat="1" x14ac:dyDescent="0.35"/>
    <row r="130" s="4" customFormat="1" x14ac:dyDescent="0.35"/>
    <row r="131" s="4" customFormat="1" x14ac:dyDescent="0.35"/>
    <row r="132" s="4" customFormat="1" x14ac:dyDescent="0.35"/>
    <row r="133" s="4" customFormat="1" x14ac:dyDescent="0.35"/>
    <row r="134" s="4" customFormat="1" x14ac:dyDescent="0.35"/>
    <row r="135" s="4" customFormat="1" x14ac:dyDescent="0.35"/>
    <row r="136" s="4" customFormat="1" x14ac:dyDescent="0.35"/>
    <row r="137" s="4" customFormat="1" x14ac:dyDescent="0.35"/>
    <row r="138" s="4" customFormat="1" x14ac:dyDescent="0.35"/>
    <row r="139" s="4" customFormat="1" x14ac:dyDescent="0.35"/>
    <row r="140" s="4" customFormat="1" x14ac:dyDescent="0.35"/>
    <row r="141" s="4" customFormat="1" x14ac:dyDescent="0.35"/>
    <row r="142" s="4" customFormat="1" x14ac:dyDescent="0.35"/>
    <row r="143" s="4" customFormat="1" x14ac:dyDescent="0.35"/>
    <row r="144" s="4" customFormat="1" x14ac:dyDescent="0.35"/>
    <row r="145" s="4" customFormat="1" x14ac:dyDescent="0.35"/>
    <row r="146" s="4" customFormat="1" x14ac:dyDescent="0.35"/>
    <row r="147" s="4" customFormat="1" x14ac:dyDescent="0.35"/>
    <row r="148" s="4" customFormat="1" x14ac:dyDescent="0.35"/>
    <row r="149" s="4" customFormat="1" x14ac:dyDescent="0.35"/>
    <row r="150" s="4" customFormat="1" x14ac:dyDescent="0.35"/>
    <row r="151" s="4" customFormat="1" x14ac:dyDescent="0.35"/>
    <row r="152" s="4" customFormat="1" x14ac:dyDescent="0.35"/>
    <row r="153" s="4" customFormat="1" x14ac:dyDescent="0.35"/>
    <row r="154" s="4" customFormat="1" x14ac:dyDescent="0.35"/>
    <row r="155" s="4" customFormat="1" x14ac:dyDescent="0.35"/>
    <row r="156" s="4" customFormat="1" x14ac:dyDescent="0.35"/>
    <row r="157" s="4" customFormat="1" x14ac:dyDescent="0.35"/>
    <row r="158" s="4" customFormat="1" x14ac:dyDescent="0.35"/>
    <row r="159" s="4" customFormat="1" x14ac:dyDescent="0.35"/>
    <row r="160" s="4" customFormat="1" x14ac:dyDescent="0.35"/>
    <row r="161" s="4" customFormat="1" x14ac:dyDescent="0.35"/>
    <row r="162" s="4" customFormat="1" x14ac:dyDescent="0.35"/>
    <row r="163" s="4" customFormat="1" x14ac:dyDescent="0.35"/>
    <row r="164" s="4" customFormat="1" x14ac:dyDescent="0.35"/>
    <row r="165" s="4" customFormat="1" x14ac:dyDescent="0.35"/>
    <row r="166" s="4" customFormat="1" x14ac:dyDescent="0.35"/>
    <row r="167" s="4" customFormat="1" x14ac:dyDescent="0.35"/>
    <row r="168" s="4" customFormat="1" x14ac:dyDescent="0.35"/>
    <row r="169" s="4" customFormat="1" x14ac:dyDescent="0.35"/>
    <row r="170" s="4" customFormat="1" x14ac:dyDescent="0.35"/>
    <row r="171" s="4" customFormat="1" x14ac:dyDescent="0.35"/>
    <row r="172" s="4" customFormat="1" x14ac:dyDescent="0.35"/>
    <row r="173" s="4" customFormat="1" x14ac:dyDescent="0.35"/>
    <row r="174" s="4" customFormat="1" x14ac:dyDescent="0.35"/>
    <row r="175" s="4" customFormat="1" x14ac:dyDescent="0.35"/>
    <row r="176" s="4" customFormat="1" x14ac:dyDescent="0.35"/>
    <row r="177" s="4" customFormat="1" x14ac:dyDescent="0.35"/>
    <row r="178" s="4" customFormat="1" x14ac:dyDescent="0.35"/>
    <row r="179" s="4" customFormat="1" x14ac:dyDescent="0.35"/>
    <row r="180" s="4" customFormat="1" x14ac:dyDescent="0.35"/>
    <row r="181" s="4" customFormat="1" x14ac:dyDescent="0.35"/>
    <row r="182" s="4" customFormat="1" x14ac:dyDescent="0.35"/>
    <row r="183" s="4" customFormat="1" x14ac:dyDescent="0.35"/>
    <row r="184" s="4" customFormat="1" x14ac:dyDescent="0.35"/>
    <row r="185" s="4" customFormat="1" x14ac:dyDescent="0.35"/>
    <row r="186" s="4" customFormat="1" x14ac:dyDescent="0.35"/>
    <row r="187" s="4" customFormat="1" x14ac:dyDescent="0.35"/>
    <row r="188" s="4" customFormat="1" x14ac:dyDescent="0.35"/>
    <row r="189" s="4" customFormat="1" x14ac:dyDescent="0.35"/>
    <row r="190" s="4" customFormat="1" x14ac:dyDescent="0.35"/>
    <row r="191" s="4" customFormat="1" x14ac:dyDescent="0.35"/>
    <row r="192" s="4" customFormat="1" x14ac:dyDescent="0.35"/>
    <row r="193" s="4" customFormat="1" x14ac:dyDescent="0.35"/>
    <row r="194" s="4" customFormat="1" x14ac:dyDescent="0.35"/>
    <row r="195" s="4" customFormat="1" x14ac:dyDescent="0.35"/>
    <row r="196" s="4" customFormat="1" x14ac:dyDescent="0.35"/>
    <row r="197" s="4" customFormat="1" x14ac:dyDescent="0.35"/>
    <row r="198" s="4" customFormat="1" x14ac:dyDescent="0.35"/>
    <row r="199" s="4" customFormat="1" x14ac:dyDescent="0.35"/>
    <row r="200" s="4" customFormat="1" x14ac:dyDescent="0.35"/>
    <row r="201" s="4" customFormat="1" x14ac:dyDescent="0.35"/>
    <row r="202" s="4" customFormat="1" x14ac:dyDescent="0.35"/>
    <row r="203" s="4" customFormat="1" x14ac:dyDescent="0.35"/>
    <row r="204" s="4" customFormat="1" x14ac:dyDescent="0.35"/>
    <row r="205" s="4" customFormat="1" x14ac:dyDescent="0.35"/>
    <row r="206" s="4" customFormat="1" x14ac:dyDescent="0.35"/>
    <row r="207" s="4" customFormat="1" x14ac:dyDescent="0.35"/>
    <row r="208" s="4" customFormat="1" x14ac:dyDescent="0.35"/>
    <row r="209" s="4" customFormat="1" x14ac:dyDescent="0.35"/>
    <row r="210" s="4" customFormat="1" x14ac:dyDescent="0.35"/>
    <row r="211" s="4" customFormat="1" x14ac:dyDescent="0.35"/>
    <row r="212" s="4" customFormat="1" x14ac:dyDescent="0.35"/>
    <row r="213" s="4" customFormat="1" x14ac:dyDescent="0.35"/>
    <row r="214" s="4" customFormat="1" x14ac:dyDescent="0.35"/>
    <row r="215" s="4" customFormat="1" x14ac:dyDescent="0.35"/>
    <row r="216" s="4" customFormat="1" x14ac:dyDescent="0.35"/>
    <row r="217" s="4" customFormat="1" x14ac:dyDescent="0.35"/>
    <row r="218" s="4" customFormat="1" x14ac:dyDescent="0.35"/>
    <row r="219" s="4" customFormat="1" x14ac:dyDescent="0.35"/>
    <row r="220" s="4" customFormat="1" x14ac:dyDescent="0.35"/>
    <row r="221" s="4" customFormat="1" x14ac:dyDescent="0.35"/>
    <row r="222" s="4" customFormat="1" x14ac:dyDescent="0.35"/>
    <row r="223" s="4" customFormat="1" x14ac:dyDescent="0.35"/>
    <row r="224" s="4" customFormat="1" x14ac:dyDescent="0.35"/>
    <row r="225" s="4" customFormat="1" x14ac:dyDescent="0.35"/>
    <row r="226" s="4" customFormat="1" x14ac:dyDescent="0.35"/>
    <row r="227" s="4" customFormat="1" x14ac:dyDescent="0.35"/>
    <row r="228" s="4" customFormat="1" x14ac:dyDescent="0.35"/>
    <row r="229" s="4" customFormat="1" x14ac:dyDescent="0.35"/>
    <row r="230" s="4" customFormat="1" x14ac:dyDescent="0.35"/>
    <row r="231" s="4" customFormat="1" x14ac:dyDescent="0.35"/>
    <row r="232" s="4" customFormat="1" x14ac:dyDescent="0.35"/>
    <row r="233" s="4" customFormat="1" x14ac:dyDescent="0.35"/>
    <row r="234" s="4" customFormat="1" x14ac:dyDescent="0.35"/>
    <row r="235" s="4" customFormat="1" x14ac:dyDescent="0.35"/>
    <row r="236" s="4" customFormat="1" x14ac:dyDescent="0.35"/>
    <row r="237" s="4" customFormat="1" x14ac:dyDescent="0.35"/>
    <row r="238" s="4" customFormat="1" x14ac:dyDescent="0.35"/>
    <row r="239" s="4" customFormat="1" x14ac:dyDescent="0.35"/>
    <row r="240" s="4" customFormat="1" x14ac:dyDescent="0.35"/>
    <row r="241" s="4" customFormat="1" x14ac:dyDescent="0.35"/>
    <row r="242" s="4" customFormat="1" x14ac:dyDescent="0.35"/>
    <row r="243" s="4" customFormat="1" x14ac:dyDescent="0.35"/>
    <row r="244" s="4" customFormat="1" x14ac:dyDescent="0.35"/>
    <row r="245" s="4" customFormat="1" x14ac:dyDescent="0.35"/>
    <row r="246" s="4" customFormat="1" x14ac:dyDescent="0.35"/>
    <row r="247" s="4" customFormat="1" x14ac:dyDescent="0.35"/>
    <row r="248" s="4" customFormat="1" x14ac:dyDescent="0.35"/>
    <row r="249" s="4" customFormat="1" x14ac:dyDescent="0.35"/>
    <row r="250" s="4" customFormat="1" x14ac:dyDescent="0.35"/>
    <row r="251" s="4" customFormat="1" x14ac:dyDescent="0.35"/>
    <row r="252" s="4" customFormat="1" x14ac:dyDescent="0.35"/>
    <row r="253" s="4" customFormat="1" x14ac:dyDescent="0.35"/>
    <row r="254" s="4" customFormat="1" x14ac:dyDescent="0.35"/>
    <row r="255" s="4" customFormat="1" x14ac:dyDescent="0.35"/>
    <row r="256" s="4" customFormat="1" x14ac:dyDescent="0.35"/>
    <row r="257" s="4" customFormat="1" x14ac:dyDescent="0.35"/>
    <row r="258" s="4" customFormat="1" x14ac:dyDescent="0.35"/>
    <row r="259" s="4" customFormat="1" x14ac:dyDescent="0.35"/>
    <row r="260" s="4" customFormat="1" x14ac:dyDescent="0.35"/>
    <row r="261" s="4" customFormat="1" x14ac:dyDescent="0.35"/>
    <row r="262" s="4" customFormat="1" x14ac:dyDescent="0.35"/>
    <row r="263" s="4" customFormat="1" x14ac:dyDescent="0.35"/>
    <row r="264" s="4" customFormat="1" x14ac:dyDescent="0.35"/>
    <row r="265" s="4" customFormat="1" x14ac:dyDescent="0.35"/>
    <row r="266" s="4" customFormat="1" x14ac:dyDescent="0.35"/>
    <row r="267" s="4" customFormat="1" x14ac:dyDescent="0.35"/>
    <row r="268" s="4" customFormat="1" x14ac:dyDescent="0.35"/>
    <row r="269" s="4" customFormat="1" x14ac:dyDescent="0.35"/>
    <row r="270" s="4" customFormat="1" x14ac:dyDescent="0.35"/>
    <row r="271" s="4" customFormat="1" x14ac:dyDescent="0.35"/>
    <row r="272" s="4" customFormat="1" x14ac:dyDescent="0.35"/>
    <row r="273" s="4" customFormat="1" x14ac:dyDescent="0.35"/>
    <row r="274" s="4" customFormat="1" x14ac:dyDescent="0.35"/>
    <row r="275" s="4" customFormat="1" x14ac:dyDescent="0.35"/>
    <row r="276" s="4" customFormat="1" x14ac:dyDescent="0.35"/>
    <row r="277" s="4" customFormat="1" x14ac:dyDescent="0.35"/>
    <row r="278" s="4" customFormat="1" x14ac:dyDescent="0.35"/>
    <row r="279" s="4" customFormat="1" x14ac:dyDescent="0.35"/>
    <row r="280" s="4" customFormat="1" x14ac:dyDescent="0.35"/>
    <row r="281" s="4" customFormat="1" x14ac:dyDescent="0.35"/>
    <row r="282" s="4" customFormat="1" x14ac:dyDescent="0.35"/>
    <row r="283" s="4" customFormat="1" x14ac:dyDescent="0.35"/>
    <row r="284" s="4" customFormat="1" x14ac:dyDescent="0.35"/>
    <row r="285" s="4" customFormat="1" x14ac:dyDescent="0.35"/>
    <row r="286" s="4" customFormat="1" x14ac:dyDescent="0.35"/>
    <row r="287" s="4" customFormat="1" x14ac:dyDescent="0.35"/>
    <row r="288" s="4" customFormat="1" x14ac:dyDescent="0.35"/>
    <row r="289" s="4" customFormat="1" x14ac:dyDescent="0.35"/>
    <row r="290" s="4" customFormat="1" x14ac:dyDescent="0.35"/>
    <row r="291" s="4" customFormat="1" x14ac:dyDescent="0.35"/>
    <row r="292" s="4" customFormat="1" x14ac:dyDescent="0.35"/>
    <row r="293" s="4" customFormat="1" x14ac:dyDescent="0.35"/>
    <row r="294" s="4" customFormat="1" x14ac:dyDescent="0.35"/>
    <row r="295" s="4" customFormat="1" x14ac:dyDescent="0.35"/>
    <row r="296" s="4" customFormat="1" x14ac:dyDescent="0.35"/>
    <row r="297" s="4" customFormat="1" x14ac:dyDescent="0.35"/>
    <row r="298" s="4" customFormat="1" x14ac:dyDescent="0.35"/>
    <row r="299" s="4" customFormat="1" x14ac:dyDescent="0.35"/>
    <row r="300" s="4" customFormat="1" x14ac:dyDescent="0.35"/>
    <row r="301" s="4" customFormat="1" x14ac:dyDescent="0.35"/>
    <row r="302" s="4" customFormat="1" x14ac:dyDescent="0.35"/>
    <row r="303" s="4" customFormat="1" x14ac:dyDescent="0.35"/>
    <row r="304" s="4" customFormat="1" x14ac:dyDescent="0.35"/>
    <row r="305" s="4" customFormat="1" x14ac:dyDescent="0.35"/>
    <row r="306" s="4" customFormat="1" x14ac:dyDescent="0.35"/>
    <row r="307" s="4" customFormat="1" x14ac:dyDescent="0.35"/>
    <row r="308" s="4" customFormat="1" x14ac:dyDescent="0.35"/>
    <row r="309" s="4" customFormat="1" x14ac:dyDescent="0.35"/>
    <row r="310" s="4" customFormat="1" x14ac:dyDescent="0.35"/>
    <row r="311" s="4" customFormat="1" x14ac:dyDescent="0.35"/>
    <row r="312" s="4" customFormat="1" x14ac:dyDescent="0.35"/>
    <row r="313" s="4" customFormat="1" x14ac:dyDescent="0.35"/>
    <row r="314" s="4" customFormat="1" x14ac:dyDescent="0.35"/>
    <row r="315" s="4" customFormat="1" x14ac:dyDescent="0.35"/>
    <row r="316" s="4" customFormat="1" x14ac:dyDescent="0.35"/>
    <row r="317" s="4" customFormat="1" x14ac:dyDescent="0.35"/>
    <row r="318" s="4" customFormat="1" x14ac:dyDescent="0.35"/>
    <row r="319" s="4" customFormat="1" x14ac:dyDescent="0.35"/>
    <row r="320" s="4" customFormat="1" x14ac:dyDescent="0.35"/>
    <row r="321" s="4" customFormat="1" x14ac:dyDescent="0.35"/>
    <row r="322" s="4" customFormat="1" x14ac:dyDescent="0.35"/>
    <row r="323" s="4" customFormat="1" x14ac:dyDescent="0.35"/>
    <row r="324" s="4" customFormat="1" x14ac:dyDescent="0.35"/>
    <row r="325" s="4" customFormat="1" x14ac:dyDescent="0.35"/>
    <row r="326" s="4" customFormat="1" x14ac:dyDescent="0.35"/>
    <row r="327" s="4" customFormat="1" x14ac:dyDescent="0.35"/>
    <row r="328" s="4" customFormat="1" x14ac:dyDescent="0.35"/>
    <row r="329" s="4" customFormat="1" x14ac:dyDescent="0.35"/>
    <row r="330" s="4" customFormat="1" x14ac:dyDescent="0.35"/>
    <row r="331" s="4" customFormat="1" x14ac:dyDescent="0.35"/>
    <row r="332" s="4" customFormat="1" x14ac:dyDescent="0.35"/>
    <row r="333" s="4" customFormat="1" x14ac:dyDescent="0.35"/>
    <row r="334" s="4" customFormat="1" x14ac:dyDescent="0.35"/>
    <row r="335" s="4" customFormat="1" x14ac:dyDescent="0.35"/>
    <row r="336" s="4" customFormat="1" x14ac:dyDescent="0.35"/>
    <row r="337" s="4" customFormat="1" x14ac:dyDescent="0.35"/>
    <row r="338" s="4" customFormat="1" x14ac:dyDescent="0.35"/>
    <row r="339" s="4" customFormat="1" x14ac:dyDescent="0.35"/>
    <row r="340" s="4" customFormat="1" x14ac:dyDescent="0.35"/>
    <row r="341" s="4" customFormat="1" x14ac:dyDescent="0.35"/>
    <row r="342" s="4" customFormat="1" x14ac:dyDescent="0.35"/>
    <row r="343" s="4" customFormat="1" x14ac:dyDescent="0.35"/>
    <row r="344" s="4" customFormat="1" x14ac:dyDescent="0.35"/>
    <row r="345" s="4" customFormat="1" x14ac:dyDescent="0.35"/>
    <row r="346" s="4" customFormat="1" x14ac:dyDescent="0.35"/>
    <row r="347" s="4" customFormat="1" x14ac:dyDescent="0.35"/>
    <row r="348" s="4" customFormat="1" x14ac:dyDescent="0.35"/>
    <row r="349" s="4" customFormat="1" x14ac:dyDescent="0.35"/>
    <row r="350" s="4" customFormat="1" x14ac:dyDescent="0.35"/>
    <row r="351" s="4" customFormat="1" x14ac:dyDescent="0.35"/>
    <row r="352" s="4" customFormat="1" x14ac:dyDescent="0.35"/>
    <row r="353" s="4" customFormat="1" x14ac:dyDescent="0.35"/>
    <row r="354" s="4" customFormat="1" x14ac:dyDescent="0.35"/>
    <row r="355" s="4" customFormat="1" x14ac:dyDescent="0.35"/>
    <row r="356" s="4" customFormat="1" x14ac:dyDescent="0.35"/>
    <row r="357" s="4" customFormat="1" x14ac:dyDescent="0.35"/>
    <row r="358" s="4" customFormat="1" x14ac:dyDescent="0.35"/>
    <row r="359" s="4" customFormat="1" x14ac:dyDescent="0.35"/>
    <row r="360" s="4" customFormat="1" x14ac:dyDescent="0.35"/>
    <row r="361" s="4" customFormat="1" x14ac:dyDescent="0.35"/>
    <row r="362" s="4" customFormat="1" x14ac:dyDescent="0.35"/>
    <row r="363" s="4" customFormat="1" x14ac:dyDescent="0.35"/>
    <row r="364" s="4" customFormat="1" x14ac:dyDescent="0.35"/>
    <row r="365" s="4" customFormat="1" x14ac:dyDescent="0.35"/>
    <row r="366" s="4" customFormat="1" x14ac:dyDescent="0.35"/>
    <row r="367" s="4" customFormat="1" x14ac:dyDescent="0.35"/>
    <row r="368" s="4" customFormat="1" x14ac:dyDescent="0.35"/>
    <row r="369" s="4" customFormat="1" x14ac:dyDescent="0.35"/>
    <row r="370" s="4" customFormat="1" x14ac:dyDescent="0.35"/>
    <row r="371" s="4" customFormat="1" x14ac:dyDescent="0.35"/>
    <row r="372" s="4" customFormat="1" x14ac:dyDescent="0.35"/>
    <row r="373" s="4" customFormat="1" x14ac:dyDescent="0.35"/>
    <row r="374" s="4" customFormat="1" x14ac:dyDescent="0.35"/>
    <row r="375" s="4" customFormat="1" x14ac:dyDescent="0.35"/>
    <row r="376" s="4" customFormat="1" x14ac:dyDescent="0.35"/>
    <row r="377" s="4" customFormat="1" x14ac:dyDescent="0.35"/>
    <row r="378" s="4" customFormat="1" x14ac:dyDescent="0.35"/>
    <row r="379" s="4" customFormat="1" x14ac:dyDescent="0.35"/>
    <row r="380" s="4" customFormat="1" x14ac:dyDescent="0.35"/>
    <row r="381" s="4" customFormat="1" x14ac:dyDescent="0.35"/>
    <row r="382" s="4" customFormat="1" x14ac:dyDescent="0.35"/>
    <row r="383" s="4" customFormat="1" x14ac:dyDescent="0.35"/>
    <row r="384" s="4" customFormat="1" x14ac:dyDescent="0.35"/>
    <row r="385" s="4" customFormat="1" x14ac:dyDescent="0.35"/>
    <row r="386" s="4" customFormat="1" x14ac:dyDescent="0.35"/>
    <row r="387" s="4" customFormat="1" x14ac:dyDescent="0.35"/>
    <row r="388" s="4" customFormat="1" x14ac:dyDescent="0.35"/>
    <row r="389" s="4" customFormat="1" x14ac:dyDescent="0.35"/>
    <row r="390" s="4" customFormat="1" x14ac:dyDescent="0.35"/>
    <row r="391" s="4" customFormat="1" x14ac:dyDescent="0.35"/>
    <row r="392" s="4" customFormat="1" x14ac:dyDescent="0.35"/>
    <row r="393" s="4" customFormat="1" x14ac:dyDescent="0.35"/>
    <row r="394" s="4" customFormat="1" x14ac:dyDescent="0.35"/>
    <row r="395" s="4" customFormat="1" x14ac:dyDescent="0.35"/>
    <row r="396" s="4" customFormat="1" x14ac:dyDescent="0.35"/>
    <row r="397" s="4" customFormat="1" x14ac:dyDescent="0.35"/>
    <row r="398" s="4" customFormat="1" x14ac:dyDescent="0.35"/>
    <row r="399" s="4" customFormat="1" x14ac:dyDescent="0.35"/>
    <row r="400" s="4" customFormat="1" x14ac:dyDescent="0.35"/>
    <row r="401" s="4" customFormat="1" x14ac:dyDescent="0.35"/>
    <row r="402" s="4" customFormat="1" x14ac:dyDescent="0.35"/>
    <row r="403" s="4" customFormat="1" x14ac:dyDescent="0.35"/>
    <row r="404" s="4" customFormat="1" x14ac:dyDescent="0.35"/>
    <row r="405" s="4" customFormat="1" x14ac:dyDescent="0.35"/>
    <row r="406" s="4" customFormat="1" x14ac:dyDescent="0.35"/>
    <row r="407" s="4" customFormat="1" x14ac:dyDescent="0.35"/>
    <row r="408" s="4" customFormat="1" x14ac:dyDescent="0.35"/>
    <row r="409" s="4" customFormat="1" x14ac:dyDescent="0.35"/>
    <row r="410" s="4" customFormat="1" x14ac:dyDescent="0.35"/>
    <row r="411" s="4" customFormat="1" x14ac:dyDescent="0.35"/>
    <row r="412" s="4" customFormat="1" x14ac:dyDescent="0.35"/>
    <row r="413" s="4" customFormat="1" x14ac:dyDescent="0.35"/>
    <row r="414" s="4" customFormat="1" x14ac:dyDescent="0.35"/>
    <row r="415" s="4" customFormat="1" x14ac:dyDescent="0.35"/>
    <row r="416" s="4" customFormat="1" x14ac:dyDescent="0.35"/>
    <row r="417" s="4" customFormat="1" x14ac:dyDescent="0.35"/>
    <row r="418" s="4" customFormat="1" x14ac:dyDescent="0.35"/>
    <row r="419" s="4" customFormat="1" x14ac:dyDescent="0.35"/>
    <row r="420" s="4" customFormat="1" x14ac:dyDescent="0.35"/>
    <row r="421" s="4" customFormat="1" x14ac:dyDescent="0.35"/>
    <row r="422" s="4" customFormat="1" x14ac:dyDescent="0.35"/>
    <row r="423" s="4" customFormat="1" x14ac:dyDescent="0.35"/>
    <row r="424" s="4" customFormat="1" x14ac:dyDescent="0.35"/>
    <row r="425" s="4" customFormat="1" x14ac:dyDescent="0.35"/>
    <row r="426" s="4" customFormat="1" x14ac:dyDescent="0.35"/>
    <row r="427" s="4" customFormat="1" x14ac:dyDescent="0.35"/>
    <row r="428" s="4" customFormat="1" x14ac:dyDescent="0.35"/>
    <row r="429" s="4" customFormat="1" x14ac:dyDescent="0.35"/>
    <row r="430" s="4" customFormat="1" x14ac:dyDescent="0.35"/>
    <row r="431" s="4" customFormat="1" x14ac:dyDescent="0.35"/>
    <row r="432" s="4" customFormat="1" x14ac:dyDescent="0.35"/>
    <row r="433" s="4" customFormat="1" x14ac:dyDescent="0.35"/>
    <row r="434" s="4" customFormat="1" x14ac:dyDescent="0.35"/>
    <row r="435" s="4" customFormat="1" x14ac:dyDescent="0.35"/>
    <row r="436" s="4" customFormat="1" x14ac:dyDescent="0.35"/>
    <row r="437" s="4" customFormat="1" x14ac:dyDescent="0.35"/>
    <row r="438" s="4" customFormat="1" x14ac:dyDescent="0.35"/>
    <row r="439" s="4" customFormat="1" x14ac:dyDescent="0.35"/>
    <row r="440" s="4" customFormat="1" x14ac:dyDescent="0.35"/>
    <row r="441" s="4" customFormat="1" x14ac:dyDescent="0.35"/>
    <row r="442" s="4" customFormat="1" x14ac:dyDescent="0.35"/>
    <row r="443" s="4" customFormat="1" x14ac:dyDescent="0.35"/>
    <row r="444" s="4" customFormat="1" x14ac:dyDescent="0.35"/>
    <row r="445" s="4" customFormat="1" x14ac:dyDescent="0.35"/>
    <row r="446" s="4" customFormat="1" x14ac:dyDescent="0.35"/>
    <row r="447" s="4" customFormat="1" x14ac:dyDescent="0.35"/>
    <row r="448" s="4" customFormat="1" x14ac:dyDescent="0.35"/>
    <row r="449" s="4" customFormat="1" x14ac:dyDescent="0.35"/>
    <row r="450" s="4" customFormat="1" x14ac:dyDescent="0.35"/>
    <row r="451" s="4" customFormat="1" x14ac:dyDescent="0.35"/>
    <row r="452" s="4" customFormat="1" x14ac:dyDescent="0.35"/>
    <row r="453" s="4" customFormat="1" x14ac:dyDescent="0.35"/>
    <row r="454" s="4" customFormat="1" x14ac:dyDescent="0.35"/>
    <row r="455" s="4" customFormat="1" x14ac:dyDescent="0.35"/>
    <row r="456" s="4" customFormat="1" x14ac:dyDescent="0.35"/>
    <row r="457" s="4" customFormat="1" x14ac:dyDescent="0.35"/>
    <row r="458" s="4" customFormat="1" x14ac:dyDescent="0.35"/>
    <row r="459" s="4" customFormat="1" x14ac:dyDescent="0.35"/>
    <row r="460" s="4" customFormat="1" x14ac:dyDescent="0.35"/>
    <row r="461" s="4" customFormat="1" x14ac:dyDescent="0.35"/>
    <row r="462" s="4" customFormat="1" x14ac:dyDescent="0.35"/>
    <row r="463" s="4" customFormat="1" x14ac:dyDescent="0.35"/>
    <row r="464" s="4" customFormat="1" x14ac:dyDescent="0.35"/>
    <row r="465" s="4" customFormat="1" x14ac:dyDescent="0.35"/>
    <row r="466" s="4" customFormat="1" x14ac:dyDescent="0.35"/>
    <row r="467" s="4" customFormat="1" x14ac:dyDescent="0.35"/>
    <row r="468" s="4" customFormat="1" x14ac:dyDescent="0.35"/>
    <row r="469" s="4" customFormat="1" x14ac:dyDescent="0.35"/>
    <row r="470" s="4" customFormat="1" x14ac:dyDescent="0.35"/>
    <row r="471" s="4" customFormat="1" x14ac:dyDescent="0.35"/>
    <row r="472" s="4" customFormat="1" x14ac:dyDescent="0.35"/>
    <row r="473" s="4" customFormat="1" x14ac:dyDescent="0.35"/>
    <row r="474" s="4" customFormat="1" x14ac:dyDescent="0.35"/>
    <row r="475" s="4" customFormat="1" x14ac:dyDescent="0.35"/>
    <row r="476" s="4" customFormat="1" x14ac:dyDescent="0.35"/>
    <row r="477" s="4" customFormat="1" x14ac:dyDescent="0.35"/>
    <row r="478" s="4" customFormat="1" x14ac:dyDescent="0.35"/>
    <row r="479" s="4" customFormat="1" x14ac:dyDescent="0.35"/>
    <row r="480" s="4" customFormat="1" x14ac:dyDescent="0.35"/>
    <row r="481" s="4" customFormat="1" x14ac:dyDescent="0.35"/>
    <row r="482" s="4" customFormat="1" x14ac:dyDescent="0.35"/>
    <row r="483" s="4" customFormat="1" x14ac:dyDescent="0.35"/>
    <row r="484" s="4" customFormat="1" x14ac:dyDescent="0.35"/>
    <row r="485" s="4" customFormat="1" x14ac:dyDescent="0.35"/>
    <row r="486" s="4" customFormat="1" x14ac:dyDescent="0.35"/>
    <row r="487" s="4" customFormat="1" x14ac:dyDescent="0.35"/>
    <row r="488" s="4" customFormat="1" x14ac:dyDescent="0.35"/>
    <row r="489" s="4" customFormat="1" x14ac:dyDescent="0.35"/>
    <row r="490" s="4" customFormat="1" x14ac:dyDescent="0.35"/>
    <row r="491" s="4" customFormat="1" x14ac:dyDescent="0.35"/>
    <row r="492" s="4" customFormat="1" x14ac:dyDescent="0.35"/>
    <row r="493" s="4" customFormat="1" x14ac:dyDescent="0.35"/>
    <row r="494" s="4" customFormat="1" x14ac:dyDescent="0.35"/>
    <row r="495" s="4" customFormat="1" x14ac:dyDescent="0.35"/>
    <row r="496" s="4" customFormat="1" x14ac:dyDescent="0.35"/>
    <row r="497" s="4" customFormat="1" x14ac:dyDescent="0.35"/>
    <row r="498" s="4" customFormat="1" x14ac:dyDescent="0.35"/>
    <row r="499" s="4" customFormat="1" x14ac:dyDescent="0.35"/>
    <row r="500" s="4" customFormat="1" x14ac:dyDescent="0.35"/>
    <row r="501" s="4" customFormat="1" x14ac:dyDescent="0.35"/>
    <row r="502" s="4" customFormat="1" x14ac:dyDescent="0.35"/>
    <row r="503" s="4" customFormat="1" x14ac:dyDescent="0.35"/>
    <row r="504" s="4" customFormat="1" x14ac:dyDescent="0.35"/>
    <row r="505" s="4" customFormat="1" x14ac:dyDescent="0.35"/>
    <row r="506" s="4" customFormat="1" x14ac:dyDescent="0.35"/>
    <row r="507" s="4" customFormat="1" x14ac:dyDescent="0.35"/>
    <row r="508" s="4" customFormat="1" x14ac:dyDescent="0.35"/>
    <row r="509" s="4" customFormat="1" x14ac:dyDescent="0.35"/>
    <row r="510" s="4" customFormat="1" x14ac:dyDescent="0.35"/>
    <row r="511" s="4" customFormat="1" x14ac:dyDescent="0.35"/>
    <row r="512" s="4" customFormat="1" x14ac:dyDescent="0.35"/>
    <row r="513" s="4" customFormat="1" x14ac:dyDescent="0.35"/>
    <row r="514" s="4" customFormat="1" x14ac:dyDescent="0.35"/>
    <row r="515" s="4" customFormat="1" x14ac:dyDescent="0.35"/>
    <row r="516" s="4" customFormat="1" x14ac:dyDescent="0.35"/>
    <row r="517" s="4" customFormat="1" x14ac:dyDescent="0.35"/>
    <row r="518" s="4" customFormat="1" x14ac:dyDescent="0.35"/>
    <row r="519" s="4" customFormat="1" x14ac:dyDescent="0.35"/>
    <row r="520" s="4" customFormat="1" x14ac:dyDescent="0.35"/>
    <row r="521" s="4" customFormat="1" x14ac:dyDescent="0.35"/>
    <row r="522" s="4" customFormat="1" x14ac:dyDescent="0.35"/>
    <row r="523" s="4" customFormat="1" x14ac:dyDescent="0.35"/>
    <row r="524" s="4" customFormat="1" x14ac:dyDescent="0.35"/>
    <row r="525" s="4" customFormat="1" x14ac:dyDescent="0.35"/>
    <row r="526" s="4" customFormat="1" x14ac:dyDescent="0.35"/>
    <row r="527" s="4" customFormat="1" x14ac:dyDescent="0.35"/>
    <row r="528" s="4" customFormat="1" x14ac:dyDescent="0.35"/>
    <row r="529" s="4" customFormat="1" x14ac:dyDescent="0.35"/>
    <row r="530" s="4" customFormat="1" x14ac:dyDescent="0.35"/>
    <row r="531" s="4" customFormat="1" x14ac:dyDescent="0.35"/>
    <row r="532" s="4" customFormat="1" x14ac:dyDescent="0.35"/>
    <row r="533" s="4" customFormat="1" x14ac:dyDescent="0.35"/>
    <row r="534" s="4" customFormat="1" x14ac:dyDescent="0.35"/>
    <row r="535" s="4" customFormat="1" x14ac:dyDescent="0.35"/>
    <row r="536" s="4" customFormat="1" x14ac:dyDescent="0.35"/>
    <row r="537" s="4" customFormat="1" x14ac:dyDescent="0.35"/>
    <row r="538" s="4" customFormat="1" x14ac:dyDescent="0.35"/>
    <row r="539" s="4" customFormat="1" x14ac:dyDescent="0.35"/>
    <row r="540" s="4" customFormat="1" x14ac:dyDescent="0.35"/>
    <row r="541" s="4" customFormat="1" x14ac:dyDescent="0.35"/>
    <row r="542" s="4" customFormat="1" x14ac:dyDescent="0.35"/>
    <row r="543" s="4" customFormat="1" x14ac:dyDescent="0.35"/>
    <row r="544" s="4" customFormat="1" x14ac:dyDescent="0.35"/>
    <row r="545" s="4" customFormat="1" x14ac:dyDescent="0.35"/>
    <row r="546" s="4" customFormat="1" x14ac:dyDescent="0.35"/>
    <row r="547" s="4" customFormat="1" x14ac:dyDescent="0.35"/>
    <row r="548" s="4" customFormat="1" x14ac:dyDescent="0.35"/>
    <row r="549" s="4" customFormat="1" x14ac:dyDescent="0.35"/>
    <row r="550" s="4" customFormat="1" x14ac:dyDescent="0.35"/>
    <row r="551" s="4" customFormat="1" x14ac:dyDescent="0.35"/>
    <row r="552" s="4" customFormat="1" x14ac:dyDescent="0.35"/>
    <row r="553" s="4" customFormat="1" x14ac:dyDescent="0.35"/>
    <row r="554" s="4" customFormat="1" x14ac:dyDescent="0.35"/>
    <row r="555" s="4" customFormat="1" x14ac:dyDescent="0.35"/>
    <row r="556" s="4" customFormat="1" x14ac:dyDescent="0.35"/>
    <row r="557" s="4" customFormat="1" x14ac:dyDescent="0.35"/>
    <row r="558" s="4" customFormat="1" x14ac:dyDescent="0.35"/>
    <row r="559" s="4" customFormat="1" x14ac:dyDescent="0.35"/>
    <row r="560" s="4" customFormat="1" x14ac:dyDescent="0.35"/>
    <row r="561" s="4" customFormat="1" x14ac:dyDescent="0.35"/>
    <row r="562" s="4" customFormat="1" x14ac:dyDescent="0.35"/>
    <row r="563" s="4" customFormat="1" x14ac:dyDescent="0.35"/>
    <row r="564" s="4" customFormat="1" x14ac:dyDescent="0.35"/>
    <row r="565" s="4" customFormat="1" x14ac:dyDescent="0.35"/>
    <row r="566" s="4" customFormat="1" x14ac:dyDescent="0.35"/>
    <row r="567" s="4" customFormat="1" x14ac:dyDescent="0.35"/>
    <row r="568" s="4" customFormat="1" x14ac:dyDescent="0.35"/>
    <row r="569" s="4" customFormat="1" x14ac:dyDescent="0.35"/>
    <row r="570" s="4" customFormat="1" x14ac:dyDescent="0.35"/>
    <row r="571" s="4" customFormat="1" x14ac:dyDescent="0.35"/>
    <row r="572" s="4" customFormat="1" x14ac:dyDescent="0.35"/>
    <row r="573" s="4" customFormat="1" x14ac:dyDescent="0.35"/>
    <row r="574" s="4" customFormat="1" x14ac:dyDescent="0.35"/>
    <row r="575" s="4" customFormat="1" x14ac:dyDescent="0.35"/>
    <row r="576" s="4" customFormat="1" x14ac:dyDescent="0.35"/>
    <row r="577" s="4" customFormat="1" x14ac:dyDescent="0.35"/>
    <row r="578" s="4" customFormat="1" x14ac:dyDescent="0.35"/>
    <row r="579" s="4" customFormat="1" x14ac:dyDescent="0.35"/>
    <row r="580" s="4" customFormat="1" x14ac:dyDescent="0.35"/>
    <row r="581" s="4" customFormat="1" x14ac:dyDescent="0.35"/>
    <row r="582" s="4" customFormat="1" x14ac:dyDescent="0.35"/>
    <row r="583" s="4" customFormat="1" x14ac:dyDescent="0.35"/>
    <row r="584" s="4" customFormat="1" x14ac:dyDescent="0.35"/>
    <row r="585" s="4" customFormat="1" x14ac:dyDescent="0.35"/>
    <row r="586" s="4" customFormat="1" x14ac:dyDescent="0.35"/>
    <row r="587" s="4" customFormat="1" x14ac:dyDescent="0.35"/>
    <row r="588" s="4" customFormat="1" x14ac:dyDescent="0.35"/>
    <row r="589" s="4" customFormat="1" x14ac:dyDescent="0.35"/>
    <row r="590" s="4" customFormat="1" x14ac:dyDescent="0.35"/>
    <row r="591" s="4" customFormat="1" x14ac:dyDescent="0.35"/>
    <row r="592" s="4" customFormat="1" x14ac:dyDescent="0.35"/>
    <row r="593" s="4" customFormat="1" x14ac:dyDescent="0.35"/>
    <row r="594" s="4" customFormat="1" x14ac:dyDescent="0.35"/>
    <row r="595" s="4" customFormat="1" x14ac:dyDescent="0.35"/>
    <row r="596" s="4" customFormat="1" x14ac:dyDescent="0.35"/>
    <row r="597" s="4" customFormat="1" x14ac:dyDescent="0.35"/>
    <row r="598" s="4" customFormat="1" x14ac:dyDescent="0.35"/>
    <row r="599" s="4" customFormat="1" x14ac:dyDescent="0.35"/>
    <row r="600" s="4" customFormat="1" x14ac:dyDescent="0.35"/>
    <row r="601" s="4" customFormat="1" x14ac:dyDescent="0.35"/>
    <row r="602" s="4" customFormat="1" x14ac:dyDescent="0.35"/>
    <row r="603" s="4" customFormat="1" x14ac:dyDescent="0.35"/>
    <row r="604" s="4" customFormat="1" x14ac:dyDescent="0.35"/>
    <row r="605" s="4" customFormat="1" x14ac:dyDescent="0.35"/>
    <row r="606" s="4" customFormat="1" x14ac:dyDescent="0.35"/>
    <row r="607" s="4" customFormat="1" x14ac:dyDescent="0.35"/>
    <row r="608" s="4" customFormat="1" x14ac:dyDescent="0.35"/>
    <row r="609" s="4" customFormat="1" x14ac:dyDescent="0.35"/>
    <row r="610" s="4" customFormat="1" x14ac:dyDescent="0.35"/>
    <row r="611" s="4" customFormat="1" x14ac:dyDescent="0.35"/>
    <row r="612" s="4" customFormat="1" x14ac:dyDescent="0.35"/>
    <row r="613" s="4" customFormat="1" x14ac:dyDescent="0.35"/>
    <row r="614" s="4" customFormat="1" x14ac:dyDescent="0.35"/>
    <row r="615" s="4" customFormat="1" x14ac:dyDescent="0.35"/>
    <row r="616" s="4" customFormat="1" x14ac:dyDescent="0.35"/>
    <row r="617" s="4" customFormat="1" x14ac:dyDescent="0.35"/>
    <row r="618" s="4" customFormat="1" x14ac:dyDescent="0.35"/>
    <row r="619" s="4" customFormat="1" x14ac:dyDescent="0.35"/>
    <row r="620" s="4" customFormat="1" x14ac:dyDescent="0.35"/>
    <row r="621" s="4" customFormat="1" x14ac:dyDescent="0.35"/>
    <row r="622" s="4" customFormat="1" x14ac:dyDescent="0.35"/>
    <row r="623" s="4" customFormat="1" x14ac:dyDescent="0.35"/>
    <row r="624" s="4" customFormat="1" x14ac:dyDescent="0.35"/>
    <row r="625" s="4" customFormat="1" x14ac:dyDescent="0.35"/>
    <row r="626" s="4" customFormat="1" x14ac:dyDescent="0.35"/>
    <row r="627" s="4" customFormat="1" x14ac:dyDescent="0.35"/>
    <row r="628" s="4" customFormat="1" x14ac:dyDescent="0.35"/>
    <row r="629" s="4" customFormat="1" x14ac:dyDescent="0.35"/>
    <row r="630" s="4" customFormat="1" x14ac:dyDescent="0.35"/>
    <row r="631" s="4" customFormat="1" x14ac:dyDescent="0.35"/>
    <row r="632" s="4" customFormat="1" x14ac:dyDescent="0.35"/>
    <row r="633" s="4" customFormat="1" x14ac:dyDescent="0.35"/>
    <row r="634" s="4" customFormat="1" x14ac:dyDescent="0.35"/>
    <row r="635" s="4" customFormat="1" x14ac:dyDescent="0.35"/>
    <row r="636" s="4" customFormat="1" x14ac:dyDescent="0.35"/>
    <row r="637" s="4" customFormat="1" x14ac:dyDescent="0.35"/>
    <row r="638" s="4" customFormat="1" x14ac:dyDescent="0.35"/>
    <row r="639" s="4" customFormat="1" x14ac:dyDescent="0.35"/>
    <row r="640" s="4" customFormat="1" x14ac:dyDescent="0.35"/>
    <row r="641" s="4" customFormat="1" x14ac:dyDescent="0.35"/>
    <row r="642" s="4" customFormat="1" x14ac:dyDescent="0.35"/>
    <row r="643" s="4" customFormat="1" x14ac:dyDescent="0.35"/>
    <row r="644" s="4" customFormat="1" x14ac:dyDescent="0.35"/>
    <row r="645" s="4" customFormat="1" x14ac:dyDescent="0.35"/>
    <row r="646" s="4" customFormat="1" x14ac:dyDescent="0.35"/>
    <row r="647" s="4" customFormat="1" x14ac:dyDescent="0.35"/>
    <row r="648" s="4" customFormat="1" x14ac:dyDescent="0.35"/>
    <row r="649" s="4" customFormat="1" x14ac:dyDescent="0.35"/>
    <row r="650" s="4" customFormat="1" x14ac:dyDescent="0.35"/>
    <row r="651" s="4" customFormat="1" x14ac:dyDescent="0.35"/>
    <row r="652" s="4" customFormat="1" x14ac:dyDescent="0.35"/>
    <row r="653" s="4" customFormat="1" x14ac:dyDescent="0.35"/>
    <row r="654" s="4" customFormat="1" x14ac:dyDescent="0.35"/>
    <row r="655" s="4" customFormat="1" x14ac:dyDescent="0.35"/>
    <row r="656" s="4" customFormat="1" x14ac:dyDescent="0.35"/>
    <row r="657" s="4" customFormat="1" x14ac:dyDescent="0.35"/>
    <row r="658" s="4" customFormat="1" x14ac:dyDescent="0.35"/>
    <row r="659" s="4" customFormat="1" x14ac:dyDescent="0.35"/>
    <row r="660" s="4" customFormat="1" x14ac:dyDescent="0.35"/>
    <row r="661" s="4" customFormat="1" x14ac:dyDescent="0.35"/>
    <row r="662" s="4" customFormat="1" x14ac:dyDescent="0.35"/>
    <row r="663" s="4" customFormat="1" x14ac:dyDescent="0.35"/>
    <row r="664" s="4" customFormat="1" x14ac:dyDescent="0.35"/>
    <row r="665" s="4" customFormat="1" x14ac:dyDescent="0.35"/>
    <row r="666" s="4" customFormat="1" x14ac:dyDescent="0.35"/>
    <row r="667" s="4" customFormat="1" x14ac:dyDescent="0.35"/>
    <row r="668" s="4" customFormat="1" x14ac:dyDescent="0.35"/>
    <row r="669" s="4" customFormat="1" x14ac:dyDescent="0.35"/>
    <row r="670" s="4" customFormat="1" x14ac:dyDescent="0.35"/>
    <row r="671" s="4" customFormat="1" x14ac:dyDescent="0.35"/>
    <row r="672" s="4" customFormat="1" x14ac:dyDescent="0.35"/>
    <row r="673" s="4" customFormat="1" x14ac:dyDescent="0.35"/>
    <row r="674" s="4" customFormat="1" x14ac:dyDescent="0.35"/>
    <row r="675" s="4" customFormat="1" x14ac:dyDescent="0.35"/>
    <row r="676" s="4" customFormat="1" x14ac:dyDescent="0.35"/>
    <row r="677" s="4" customFormat="1" x14ac:dyDescent="0.35"/>
    <row r="678" s="4" customFormat="1" x14ac:dyDescent="0.35"/>
    <row r="679" s="4" customFormat="1" x14ac:dyDescent="0.35"/>
    <row r="680" s="4" customFormat="1" x14ac:dyDescent="0.35"/>
    <row r="681" s="4" customFormat="1" x14ac:dyDescent="0.35"/>
    <row r="682" s="4" customFormat="1" x14ac:dyDescent="0.35"/>
    <row r="683" s="4" customFormat="1" x14ac:dyDescent="0.35"/>
    <row r="684" s="4" customFormat="1" x14ac:dyDescent="0.35"/>
    <row r="685" s="4" customFormat="1" x14ac:dyDescent="0.35"/>
    <row r="686" s="4" customFormat="1" x14ac:dyDescent="0.35"/>
    <row r="687" s="4" customFormat="1" x14ac:dyDescent="0.35"/>
    <row r="688" s="4" customFormat="1" x14ac:dyDescent="0.35"/>
    <row r="689" s="4" customFormat="1" x14ac:dyDescent="0.35"/>
    <row r="690" s="4" customFormat="1" x14ac:dyDescent="0.35"/>
    <row r="691" s="4" customFormat="1" x14ac:dyDescent="0.35"/>
    <row r="692" s="4" customFormat="1" x14ac:dyDescent="0.35"/>
    <row r="693" s="4" customFormat="1" x14ac:dyDescent="0.35"/>
    <row r="694" s="4" customFormat="1" x14ac:dyDescent="0.35"/>
    <row r="695" s="4" customFormat="1" x14ac:dyDescent="0.35"/>
    <row r="696" s="4" customFormat="1" x14ac:dyDescent="0.35"/>
    <row r="697" s="4" customFormat="1" x14ac:dyDescent="0.35"/>
    <row r="698" s="4" customFormat="1" x14ac:dyDescent="0.35"/>
    <row r="699" s="4" customFormat="1" x14ac:dyDescent="0.35"/>
    <row r="700" s="4" customFormat="1" x14ac:dyDescent="0.35"/>
    <row r="701" s="4" customFormat="1" x14ac:dyDescent="0.35"/>
    <row r="702" s="4" customFormat="1" x14ac:dyDescent="0.35"/>
    <row r="703" s="4" customFormat="1" x14ac:dyDescent="0.35"/>
    <row r="704" s="4" customFormat="1" x14ac:dyDescent="0.35"/>
    <row r="705" s="4" customFormat="1" x14ac:dyDescent="0.35"/>
    <row r="706" s="4" customFormat="1" x14ac:dyDescent="0.35"/>
    <row r="707" s="4" customFormat="1" x14ac:dyDescent="0.35"/>
    <row r="708" s="4" customFormat="1" x14ac:dyDescent="0.35"/>
    <row r="709" s="4" customFormat="1" x14ac:dyDescent="0.35"/>
    <row r="710" s="4" customFormat="1" x14ac:dyDescent="0.35"/>
    <row r="711" s="4" customFormat="1" x14ac:dyDescent="0.35"/>
    <row r="712" s="4" customFormat="1" x14ac:dyDescent="0.35"/>
    <row r="713" s="4" customFormat="1" x14ac:dyDescent="0.35"/>
    <row r="714" s="4" customFormat="1" x14ac:dyDescent="0.35"/>
    <row r="715" s="4" customFormat="1" x14ac:dyDescent="0.35"/>
    <row r="716" s="4" customFormat="1" x14ac:dyDescent="0.35"/>
    <row r="717" s="4" customFormat="1" x14ac:dyDescent="0.35"/>
    <row r="718" s="4" customFormat="1" x14ac:dyDescent="0.35"/>
    <row r="719" s="4" customFormat="1" x14ac:dyDescent="0.35"/>
    <row r="720" s="4" customFormat="1" x14ac:dyDescent="0.35"/>
    <row r="721" s="4" customFormat="1" x14ac:dyDescent="0.35"/>
    <row r="722" s="4" customFormat="1" x14ac:dyDescent="0.35"/>
    <row r="723" s="4" customFormat="1" x14ac:dyDescent="0.35"/>
    <row r="724" s="4" customFormat="1" x14ac:dyDescent="0.35"/>
    <row r="725" s="4" customFormat="1" x14ac:dyDescent="0.35"/>
    <row r="726" s="4" customFormat="1" x14ac:dyDescent="0.35"/>
    <row r="727" s="4" customFormat="1" x14ac:dyDescent="0.35"/>
    <row r="728" s="4" customFormat="1" x14ac:dyDescent="0.35"/>
    <row r="729" s="4" customFormat="1" x14ac:dyDescent="0.35"/>
    <row r="730" s="4" customFormat="1" x14ac:dyDescent="0.35"/>
    <row r="731" s="4" customFormat="1" x14ac:dyDescent="0.35"/>
    <row r="732" s="4" customFormat="1" x14ac:dyDescent="0.35"/>
    <row r="733" s="4" customFormat="1" x14ac:dyDescent="0.35"/>
    <row r="734" s="4" customFormat="1" x14ac:dyDescent="0.35"/>
    <row r="735" s="4" customFormat="1" x14ac:dyDescent="0.35"/>
    <row r="736" s="4" customFormat="1" x14ac:dyDescent="0.35"/>
    <row r="737" s="4" customFormat="1" x14ac:dyDescent="0.35"/>
    <row r="738" s="4" customFormat="1" x14ac:dyDescent="0.35"/>
    <row r="739" s="4" customFormat="1" x14ac:dyDescent="0.35"/>
    <row r="740" s="4" customFormat="1" x14ac:dyDescent="0.35"/>
    <row r="741" s="4" customFormat="1" x14ac:dyDescent="0.35"/>
    <row r="742" s="4" customFormat="1" x14ac:dyDescent="0.35"/>
    <row r="743" s="4" customFormat="1" x14ac:dyDescent="0.35"/>
    <row r="744" s="4" customFormat="1" x14ac:dyDescent="0.35"/>
    <row r="745" s="4" customFormat="1" x14ac:dyDescent="0.35"/>
    <row r="746" s="4" customFormat="1" x14ac:dyDescent="0.35"/>
    <row r="747" s="4" customFormat="1" x14ac:dyDescent="0.35"/>
    <row r="748" s="4" customFormat="1" x14ac:dyDescent="0.35"/>
    <row r="749" s="4" customFormat="1" x14ac:dyDescent="0.35"/>
    <row r="750" s="4" customFormat="1" x14ac:dyDescent="0.35"/>
    <row r="751" s="4" customFormat="1" x14ac:dyDescent="0.35"/>
    <row r="752" s="4" customFormat="1" x14ac:dyDescent="0.35"/>
    <row r="753" s="4" customFormat="1" x14ac:dyDescent="0.35"/>
    <row r="754" s="4" customFormat="1" x14ac:dyDescent="0.35"/>
    <row r="755" s="4" customFormat="1" x14ac:dyDescent="0.35"/>
    <row r="756" s="4" customFormat="1" x14ac:dyDescent="0.35"/>
    <row r="757" s="4" customFormat="1" x14ac:dyDescent="0.35"/>
    <row r="758" s="4" customFormat="1" x14ac:dyDescent="0.35"/>
    <row r="759" s="4" customFormat="1" x14ac:dyDescent="0.35"/>
    <row r="760" s="4" customFormat="1" x14ac:dyDescent="0.35"/>
    <row r="761" s="4" customFormat="1" x14ac:dyDescent="0.35"/>
    <row r="762" s="4" customFormat="1" x14ac:dyDescent="0.35"/>
    <row r="763" s="4" customFormat="1" x14ac:dyDescent="0.35"/>
    <row r="764" s="4" customFormat="1" x14ac:dyDescent="0.35"/>
    <row r="765" s="4" customFormat="1" x14ac:dyDescent="0.35"/>
    <row r="766" s="4" customFormat="1" x14ac:dyDescent="0.35"/>
    <row r="767" s="4" customFormat="1" x14ac:dyDescent="0.35"/>
    <row r="768" s="4" customFormat="1" x14ac:dyDescent="0.35"/>
    <row r="769" s="4" customFormat="1" x14ac:dyDescent="0.35"/>
    <row r="770" s="4" customFormat="1" x14ac:dyDescent="0.35"/>
    <row r="771" s="4" customFormat="1" x14ac:dyDescent="0.35"/>
    <row r="772" s="4" customFormat="1" x14ac:dyDescent="0.35"/>
    <row r="773" s="4" customFormat="1" x14ac:dyDescent="0.35"/>
    <row r="774" s="4" customFormat="1" x14ac:dyDescent="0.35"/>
    <row r="775" s="4" customFormat="1" x14ac:dyDescent="0.35"/>
    <row r="776" s="4" customFormat="1" x14ac:dyDescent="0.35"/>
    <row r="777" s="4" customFormat="1" x14ac:dyDescent="0.35"/>
    <row r="778" s="4" customFormat="1" x14ac:dyDescent="0.35"/>
    <row r="779" s="4" customFormat="1" x14ac:dyDescent="0.35"/>
    <row r="780" s="4" customFormat="1" x14ac:dyDescent="0.35"/>
    <row r="781" s="4" customFormat="1" x14ac:dyDescent="0.35"/>
    <row r="782" s="4" customFormat="1" x14ac:dyDescent="0.35"/>
    <row r="783" s="4" customFormat="1" x14ac:dyDescent="0.35"/>
    <row r="784" s="4" customFormat="1" x14ac:dyDescent="0.35"/>
    <row r="785" s="4" customFormat="1" x14ac:dyDescent="0.35"/>
    <row r="786" s="4" customFormat="1" x14ac:dyDescent="0.35"/>
    <row r="787" s="4" customFormat="1" x14ac:dyDescent="0.35"/>
    <row r="788" s="4" customFormat="1" x14ac:dyDescent="0.35"/>
    <row r="789" s="4" customFormat="1" x14ac:dyDescent="0.35"/>
    <row r="790" s="4" customFormat="1" x14ac:dyDescent="0.35"/>
    <row r="791" s="4" customFormat="1" x14ac:dyDescent="0.35"/>
    <row r="792" s="4" customFormat="1" x14ac:dyDescent="0.35"/>
    <row r="793" s="4" customFormat="1" x14ac:dyDescent="0.35"/>
    <row r="794" s="4" customFormat="1" x14ac:dyDescent="0.35"/>
    <row r="795" s="4" customFormat="1" x14ac:dyDescent="0.35"/>
    <row r="796" s="4" customFormat="1" x14ac:dyDescent="0.35"/>
    <row r="797" s="4" customFormat="1" x14ac:dyDescent="0.35"/>
    <row r="798" s="4" customFormat="1" x14ac:dyDescent="0.35"/>
    <row r="799" s="4" customFormat="1" x14ac:dyDescent="0.35"/>
    <row r="800" s="4" customFormat="1" x14ac:dyDescent="0.35"/>
    <row r="801" s="4" customFormat="1" x14ac:dyDescent="0.35"/>
    <row r="802" s="4" customFormat="1" x14ac:dyDescent="0.35"/>
    <row r="803" s="4" customFormat="1" x14ac:dyDescent="0.35"/>
    <row r="804" s="4" customFormat="1" x14ac:dyDescent="0.35"/>
    <row r="805" s="4" customFormat="1" x14ac:dyDescent="0.35"/>
    <row r="806" s="4" customFormat="1" x14ac:dyDescent="0.35"/>
    <row r="807" s="4" customFormat="1" x14ac:dyDescent="0.35"/>
    <row r="808" s="4" customFormat="1" x14ac:dyDescent="0.35"/>
    <row r="809" s="4" customFormat="1" x14ac:dyDescent="0.35"/>
    <row r="810" s="4" customFormat="1" x14ac:dyDescent="0.35"/>
    <row r="811" s="4" customFormat="1" x14ac:dyDescent="0.35"/>
    <row r="812" s="4" customFormat="1" x14ac:dyDescent="0.35"/>
    <row r="813" s="4" customFormat="1" x14ac:dyDescent="0.35"/>
    <row r="814" s="4" customFormat="1" x14ac:dyDescent="0.35"/>
    <row r="815" s="4" customFormat="1" x14ac:dyDescent="0.35"/>
    <row r="816" s="4" customFormat="1" x14ac:dyDescent="0.35"/>
    <row r="817" s="4" customFormat="1" x14ac:dyDescent="0.35"/>
    <row r="818" s="4" customFormat="1" x14ac:dyDescent="0.35"/>
    <row r="819" s="4" customFormat="1" x14ac:dyDescent="0.35"/>
    <row r="820" s="4" customFormat="1" x14ac:dyDescent="0.35"/>
    <row r="821" s="4" customFormat="1" x14ac:dyDescent="0.35"/>
    <row r="822" s="4" customFormat="1" x14ac:dyDescent="0.35"/>
    <row r="823" s="4" customFormat="1" x14ac:dyDescent="0.35"/>
    <row r="824" s="4" customFormat="1" x14ac:dyDescent="0.35"/>
    <row r="825" s="4" customFormat="1" x14ac:dyDescent="0.35"/>
    <row r="826" s="4" customFormat="1" x14ac:dyDescent="0.35"/>
    <row r="827" s="4" customFormat="1" x14ac:dyDescent="0.35"/>
    <row r="828" s="4" customFormat="1" x14ac:dyDescent="0.35"/>
    <row r="829" s="4" customFormat="1" x14ac:dyDescent="0.35"/>
    <row r="830" s="4" customFormat="1" x14ac:dyDescent="0.35"/>
    <row r="831" s="4" customFormat="1" x14ac:dyDescent="0.35"/>
    <row r="832" s="4" customFormat="1" x14ac:dyDescent="0.35"/>
    <row r="833" s="4" customFormat="1" x14ac:dyDescent="0.35"/>
    <row r="834" s="4" customFormat="1" x14ac:dyDescent="0.35"/>
    <row r="835" s="4" customFormat="1" x14ac:dyDescent="0.35"/>
    <row r="836" s="4" customFormat="1" x14ac:dyDescent="0.35"/>
    <row r="837" s="4" customFormat="1" x14ac:dyDescent="0.35"/>
    <row r="838" s="4" customFormat="1" x14ac:dyDescent="0.35"/>
    <row r="839" s="4" customFormat="1" x14ac:dyDescent="0.35"/>
    <row r="840" s="4" customFormat="1" x14ac:dyDescent="0.35"/>
    <row r="841" s="4" customFormat="1" x14ac:dyDescent="0.35"/>
    <row r="842" s="4" customFormat="1" x14ac:dyDescent="0.35"/>
    <row r="843" s="4" customFormat="1" x14ac:dyDescent="0.35"/>
    <row r="844" s="4" customFormat="1" x14ac:dyDescent="0.35"/>
    <row r="845" s="4" customFormat="1" x14ac:dyDescent="0.35"/>
    <row r="846" s="4" customFormat="1" x14ac:dyDescent="0.35"/>
    <row r="847" s="4" customFormat="1" x14ac:dyDescent="0.35"/>
    <row r="848" s="4" customFormat="1" x14ac:dyDescent="0.35"/>
    <row r="849" s="4" customFormat="1" x14ac:dyDescent="0.35"/>
    <row r="850" s="4" customFormat="1" x14ac:dyDescent="0.35"/>
    <row r="851" s="4" customFormat="1" x14ac:dyDescent="0.35"/>
    <row r="852" s="4" customFormat="1" x14ac:dyDescent="0.35"/>
    <row r="853" s="4" customFormat="1" x14ac:dyDescent="0.35"/>
    <row r="854" s="4" customFormat="1" x14ac:dyDescent="0.35"/>
    <row r="855" s="4" customFormat="1" x14ac:dyDescent="0.35"/>
    <row r="856" s="4" customFormat="1" x14ac:dyDescent="0.35"/>
    <row r="857" s="4" customFormat="1" x14ac:dyDescent="0.35"/>
    <row r="858" s="4" customFormat="1" x14ac:dyDescent="0.35"/>
    <row r="859" s="4" customFormat="1" x14ac:dyDescent="0.35"/>
    <row r="860" s="4" customFormat="1" x14ac:dyDescent="0.35"/>
    <row r="861" s="4" customFormat="1" x14ac:dyDescent="0.35"/>
    <row r="862" s="4" customFormat="1" x14ac:dyDescent="0.35"/>
    <row r="863" s="4" customFormat="1" x14ac:dyDescent="0.35"/>
    <row r="864" s="4" customFormat="1" x14ac:dyDescent="0.35"/>
    <row r="865" s="4" customFormat="1" x14ac:dyDescent="0.35"/>
    <row r="866" s="4" customFormat="1" x14ac:dyDescent="0.35"/>
    <row r="867" s="4" customFormat="1" x14ac:dyDescent="0.35"/>
    <row r="868" s="4" customFormat="1" x14ac:dyDescent="0.35"/>
    <row r="869" s="4" customFormat="1" x14ac:dyDescent="0.35"/>
    <row r="870" s="4" customFormat="1" x14ac:dyDescent="0.35"/>
    <row r="871" s="4" customFormat="1" x14ac:dyDescent="0.35"/>
    <row r="872" s="4" customFormat="1" x14ac:dyDescent="0.35"/>
    <row r="873" s="4" customFormat="1" x14ac:dyDescent="0.35"/>
    <row r="874" s="4" customFormat="1" x14ac:dyDescent="0.35"/>
    <row r="875" s="4" customFormat="1" x14ac:dyDescent="0.35"/>
    <row r="876" s="4" customFormat="1" x14ac:dyDescent="0.35"/>
    <row r="877" s="4" customFormat="1" x14ac:dyDescent="0.35"/>
    <row r="878" s="4" customFormat="1" x14ac:dyDescent="0.35"/>
    <row r="879" s="4" customFormat="1" x14ac:dyDescent="0.35"/>
    <row r="880" s="4" customFormat="1" x14ac:dyDescent="0.35"/>
    <row r="881" s="4" customFormat="1" x14ac:dyDescent="0.35"/>
    <row r="882" s="4" customFormat="1" x14ac:dyDescent="0.35"/>
    <row r="883" s="4" customFormat="1" x14ac:dyDescent="0.35"/>
    <row r="884" s="4" customFormat="1" x14ac:dyDescent="0.35"/>
    <row r="885" s="4" customFormat="1" x14ac:dyDescent="0.35"/>
    <row r="886" s="4" customFormat="1" x14ac:dyDescent="0.35"/>
    <row r="887" s="4" customFormat="1" x14ac:dyDescent="0.35"/>
    <row r="888" s="4" customFormat="1" x14ac:dyDescent="0.35"/>
    <row r="889" s="4" customFormat="1" x14ac:dyDescent="0.35"/>
    <row r="890" s="4" customFormat="1" x14ac:dyDescent="0.35"/>
    <row r="891" s="4" customFormat="1" x14ac:dyDescent="0.35"/>
    <row r="892" s="4" customFormat="1" x14ac:dyDescent="0.35"/>
    <row r="893" s="4" customFormat="1" x14ac:dyDescent="0.35"/>
    <row r="894" s="4" customFormat="1" x14ac:dyDescent="0.35"/>
    <row r="895" s="4" customFormat="1" x14ac:dyDescent="0.35"/>
    <row r="896" s="4" customFormat="1" x14ac:dyDescent="0.35"/>
    <row r="897" s="4" customFormat="1" x14ac:dyDescent="0.35"/>
    <row r="898" s="4" customFormat="1" x14ac:dyDescent="0.35"/>
    <row r="899" s="4" customFormat="1" x14ac:dyDescent="0.35"/>
    <row r="900" s="4" customFormat="1" x14ac:dyDescent="0.35"/>
    <row r="901" s="4" customFormat="1" x14ac:dyDescent="0.35"/>
    <row r="902" s="4" customFormat="1" x14ac:dyDescent="0.35"/>
    <row r="903" s="4" customFormat="1" x14ac:dyDescent="0.35"/>
    <row r="904" s="4" customFormat="1" x14ac:dyDescent="0.35"/>
    <row r="905" s="4" customFormat="1" x14ac:dyDescent="0.35"/>
    <row r="906" s="4" customFormat="1" x14ac:dyDescent="0.35"/>
    <row r="907" s="4" customFormat="1" x14ac:dyDescent="0.35"/>
    <row r="908" s="4" customFormat="1" x14ac:dyDescent="0.35"/>
    <row r="909" s="4" customFormat="1" x14ac:dyDescent="0.35"/>
    <row r="910" s="4" customFormat="1" x14ac:dyDescent="0.35"/>
    <row r="911" s="4" customFormat="1" x14ac:dyDescent="0.35"/>
    <row r="912" s="4" customFormat="1" x14ac:dyDescent="0.35"/>
    <row r="913" s="4" customFormat="1" x14ac:dyDescent="0.35"/>
    <row r="914" s="4" customFormat="1" x14ac:dyDescent="0.35"/>
    <row r="915" s="4" customFormat="1" x14ac:dyDescent="0.35"/>
    <row r="916" s="4" customFormat="1" x14ac:dyDescent="0.35"/>
    <row r="917" s="4" customFormat="1" x14ac:dyDescent="0.35"/>
    <row r="918" s="4" customFormat="1" x14ac:dyDescent="0.35"/>
    <row r="919" s="4" customFormat="1" x14ac:dyDescent="0.35"/>
    <row r="920" s="4" customFormat="1" x14ac:dyDescent="0.35"/>
    <row r="921" s="4" customFormat="1" x14ac:dyDescent="0.35"/>
    <row r="922" s="4" customFormat="1" x14ac:dyDescent="0.35"/>
    <row r="923" s="4" customFormat="1" x14ac:dyDescent="0.35"/>
    <row r="924" s="4" customFormat="1" x14ac:dyDescent="0.35"/>
    <row r="925" s="4" customFormat="1" x14ac:dyDescent="0.35"/>
    <row r="926" s="4" customFormat="1" x14ac:dyDescent="0.35"/>
    <row r="927" s="4" customFormat="1" x14ac:dyDescent="0.35"/>
    <row r="928" s="4" customFormat="1" x14ac:dyDescent="0.35"/>
    <row r="929" s="4" customFormat="1" x14ac:dyDescent="0.35"/>
    <row r="930" s="4" customFormat="1" x14ac:dyDescent="0.35"/>
    <row r="931" s="4" customFormat="1" x14ac:dyDescent="0.35"/>
    <row r="932" s="4" customFormat="1" x14ac:dyDescent="0.35"/>
    <row r="933" s="4" customFormat="1" x14ac:dyDescent="0.35"/>
    <row r="934" s="4" customFormat="1" x14ac:dyDescent="0.35"/>
    <row r="935" s="4" customFormat="1" x14ac:dyDescent="0.35"/>
    <row r="936" s="4" customFormat="1" x14ac:dyDescent="0.35"/>
    <row r="937" s="4" customFormat="1" x14ac:dyDescent="0.35"/>
    <row r="938" s="4" customFormat="1" x14ac:dyDescent="0.35"/>
    <row r="939" s="4" customFormat="1" x14ac:dyDescent="0.35"/>
    <row r="940" s="4" customFormat="1" x14ac:dyDescent="0.35"/>
    <row r="941" s="4" customFormat="1" x14ac:dyDescent="0.35"/>
    <row r="942" s="4" customFormat="1" x14ac:dyDescent="0.35"/>
    <row r="943" s="4" customFormat="1" x14ac:dyDescent="0.35"/>
    <row r="944" s="4" customFormat="1" x14ac:dyDescent="0.35"/>
    <row r="945" s="4" customFormat="1" x14ac:dyDescent="0.35"/>
    <row r="946" s="4" customFormat="1" x14ac:dyDescent="0.35"/>
    <row r="947" s="4" customFormat="1" x14ac:dyDescent="0.35"/>
    <row r="948" s="4" customFormat="1" x14ac:dyDescent="0.35"/>
    <row r="949" s="4" customFormat="1" x14ac:dyDescent="0.35"/>
    <row r="950" s="4" customFormat="1" x14ac:dyDescent="0.35"/>
    <row r="951" s="4" customFormat="1" x14ac:dyDescent="0.35"/>
    <row r="952" s="4" customFormat="1" x14ac:dyDescent="0.35"/>
    <row r="953" s="4" customFormat="1" x14ac:dyDescent="0.35"/>
    <row r="954" s="4" customFormat="1" x14ac:dyDescent="0.35"/>
    <row r="955" s="4" customFormat="1" x14ac:dyDescent="0.35"/>
    <row r="956" s="4" customFormat="1" x14ac:dyDescent="0.35"/>
    <row r="957" s="4" customFormat="1" x14ac:dyDescent="0.35"/>
    <row r="958" s="4" customFormat="1" x14ac:dyDescent="0.35"/>
    <row r="959" s="4" customFormat="1" x14ac:dyDescent="0.35"/>
    <row r="960" s="4" customFormat="1" x14ac:dyDescent="0.35"/>
    <row r="961" s="4" customFormat="1" x14ac:dyDescent="0.35"/>
    <row r="962" s="4" customFormat="1" x14ac:dyDescent="0.35"/>
    <row r="963" s="4" customFormat="1" x14ac:dyDescent="0.35"/>
    <row r="964" s="4" customFormat="1" x14ac:dyDescent="0.35"/>
    <row r="965" s="4" customFormat="1" x14ac:dyDescent="0.35"/>
    <row r="966" s="4" customFormat="1" x14ac:dyDescent="0.35"/>
    <row r="967" s="4" customFormat="1" x14ac:dyDescent="0.35"/>
    <row r="968" s="4" customFormat="1" x14ac:dyDescent="0.35"/>
    <row r="969" s="4" customFormat="1" x14ac:dyDescent="0.35"/>
    <row r="970" s="4" customFormat="1" x14ac:dyDescent="0.35"/>
    <row r="971" s="4" customFormat="1" x14ac:dyDescent="0.35"/>
    <row r="972" s="4" customFormat="1" x14ac:dyDescent="0.35"/>
    <row r="973" s="4" customFormat="1" x14ac:dyDescent="0.35"/>
    <row r="974" s="4" customFormat="1" x14ac:dyDescent="0.35"/>
    <row r="975" s="4" customFormat="1" x14ac:dyDescent="0.35"/>
    <row r="976" s="4" customFormat="1" x14ac:dyDescent="0.35"/>
    <row r="977" s="4" customFormat="1" x14ac:dyDescent="0.35"/>
    <row r="978" s="4" customFormat="1" x14ac:dyDescent="0.35"/>
    <row r="979" s="4" customFormat="1" x14ac:dyDescent="0.35"/>
    <row r="980" s="4" customFormat="1" x14ac:dyDescent="0.35"/>
    <row r="981" s="4" customFormat="1" x14ac:dyDescent="0.35"/>
    <row r="982" s="4" customFormat="1" x14ac:dyDescent="0.35"/>
    <row r="983" s="4" customFormat="1" x14ac:dyDescent="0.35"/>
    <row r="984" s="4" customFormat="1" x14ac:dyDescent="0.35"/>
    <row r="985" s="4" customFormat="1" x14ac:dyDescent="0.35"/>
    <row r="986" s="4" customFormat="1" x14ac:dyDescent="0.35"/>
    <row r="987" s="4" customFormat="1" x14ac:dyDescent="0.35"/>
    <row r="988" s="4" customFormat="1" x14ac:dyDescent="0.35"/>
    <row r="989" s="4" customFormat="1" x14ac:dyDescent="0.35"/>
    <row r="990" s="4" customFormat="1" x14ac:dyDescent="0.35"/>
    <row r="991" s="4" customFormat="1" x14ac:dyDescent="0.35"/>
    <row r="992" s="4" customFormat="1" x14ac:dyDescent="0.35"/>
    <row r="993" s="4" customFormat="1" x14ac:dyDescent="0.35"/>
    <row r="994" s="4" customFormat="1" x14ac:dyDescent="0.35"/>
    <row r="995" s="4" customFormat="1" x14ac:dyDescent="0.35"/>
    <row r="996" s="4" customFormat="1" x14ac:dyDescent="0.35"/>
    <row r="997" s="4" customFormat="1" x14ac:dyDescent="0.35"/>
    <row r="998" s="4" customFormat="1" x14ac:dyDescent="0.35"/>
    <row r="999" s="4" customFormat="1" x14ac:dyDescent="0.35"/>
    <row r="1000" s="4" customFormat="1" x14ac:dyDescent="0.35"/>
    <row r="1001" s="4" customFormat="1" x14ac:dyDescent="0.35"/>
    <row r="1002" s="4" customFormat="1" x14ac:dyDescent="0.35"/>
    <row r="1003" s="4" customFormat="1" x14ac:dyDescent="0.35"/>
    <row r="1004" s="4" customFormat="1" x14ac:dyDescent="0.35"/>
    <row r="1005" s="4" customFormat="1" x14ac:dyDescent="0.35"/>
    <row r="1006" s="4" customFormat="1" x14ac:dyDescent="0.35"/>
    <row r="1007" s="4" customFormat="1" x14ac:dyDescent="0.35"/>
    <row r="1008" s="4" customFormat="1" x14ac:dyDescent="0.35"/>
    <row r="1009" s="4" customFormat="1" x14ac:dyDescent="0.35"/>
    <row r="1010" s="4" customFormat="1" x14ac:dyDescent="0.35"/>
    <row r="1011" s="4" customFormat="1" x14ac:dyDescent="0.35"/>
    <row r="1012" s="4" customFormat="1" x14ac:dyDescent="0.35"/>
    <row r="1013" s="4" customFormat="1" x14ac:dyDescent="0.35"/>
    <row r="1014" s="4" customFormat="1" x14ac:dyDescent="0.35"/>
    <row r="1015" s="4" customFormat="1" x14ac:dyDescent="0.35"/>
    <row r="1016" s="4" customFormat="1" x14ac:dyDescent="0.35"/>
    <row r="1017" s="4" customFormat="1" x14ac:dyDescent="0.35"/>
    <row r="1018" s="4" customFormat="1" x14ac:dyDescent="0.35"/>
    <row r="1019" s="4" customFormat="1" x14ac:dyDescent="0.35"/>
    <row r="1020" s="4" customFormat="1" x14ac:dyDescent="0.35"/>
    <row r="1021" s="4" customFormat="1" x14ac:dyDescent="0.35"/>
    <row r="1022" s="4" customFormat="1" x14ac:dyDescent="0.35"/>
    <row r="1023" s="4" customFormat="1" x14ac:dyDescent="0.35"/>
    <row r="1024" s="4" customFormat="1" x14ac:dyDescent="0.35"/>
    <row r="1025" s="4" customFormat="1" x14ac:dyDescent="0.35"/>
    <row r="1026" s="4" customFormat="1" x14ac:dyDescent="0.35"/>
    <row r="1027" s="4" customFormat="1" x14ac:dyDescent="0.35"/>
    <row r="1028" s="4" customFormat="1" x14ac:dyDescent="0.35"/>
    <row r="1029" s="4" customFormat="1" x14ac:dyDescent="0.35"/>
    <row r="1030" s="4" customFormat="1" x14ac:dyDescent="0.35"/>
    <row r="1031" s="4" customFormat="1" x14ac:dyDescent="0.35"/>
    <row r="1032" s="4" customFormat="1" x14ac:dyDescent="0.35"/>
    <row r="1033" s="4" customFormat="1" x14ac:dyDescent="0.35"/>
    <row r="1034" s="4" customFormat="1" x14ac:dyDescent="0.35"/>
    <row r="1035" s="4" customFormat="1" x14ac:dyDescent="0.35"/>
    <row r="1036" s="4" customFormat="1" x14ac:dyDescent="0.35"/>
    <row r="1037" s="4" customFormat="1" x14ac:dyDescent="0.35"/>
    <row r="1038" s="4" customFormat="1" x14ac:dyDescent="0.35"/>
    <row r="1039" s="4" customFormat="1" x14ac:dyDescent="0.35"/>
    <row r="1040" s="4" customFormat="1" x14ac:dyDescent="0.35"/>
    <row r="1041" s="4" customFormat="1" x14ac:dyDescent="0.35"/>
    <row r="1042" s="4" customFormat="1" x14ac:dyDescent="0.35"/>
    <row r="1043" s="4" customFormat="1" x14ac:dyDescent="0.35"/>
    <row r="1044" s="4" customFormat="1" x14ac:dyDescent="0.35"/>
    <row r="1045" s="4" customFormat="1" x14ac:dyDescent="0.35"/>
    <row r="1046" s="4" customFormat="1" x14ac:dyDescent="0.35"/>
    <row r="1047" s="4" customFormat="1" x14ac:dyDescent="0.35"/>
    <row r="1048" s="4" customFormat="1" x14ac:dyDescent="0.35"/>
    <row r="1049" s="4" customFormat="1" x14ac:dyDescent="0.35"/>
    <row r="1050" s="4" customFormat="1" x14ac:dyDescent="0.35"/>
    <row r="1051" s="4" customFormat="1" x14ac:dyDescent="0.35"/>
    <row r="1052" s="4" customFormat="1" x14ac:dyDescent="0.35"/>
    <row r="1053" s="4" customFormat="1" x14ac:dyDescent="0.35"/>
    <row r="1054" s="4" customFormat="1" x14ac:dyDescent="0.35"/>
    <row r="1055" s="4" customFormat="1" x14ac:dyDescent="0.35"/>
    <row r="1056" s="4" customFormat="1" x14ac:dyDescent="0.35"/>
    <row r="1057" s="4" customFormat="1" x14ac:dyDescent="0.35"/>
    <row r="1058" s="4" customFormat="1" x14ac:dyDescent="0.35"/>
    <row r="1059" s="4" customFormat="1" x14ac:dyDescent="0.35"/>
    <row r="1060" s="4" customFormat="1" x14ac:dyDescent="0.35"/>
    <row r="1061" s="4" customFormat="1" x14ac:dyDescent="0.35"/>
    <row r="1062" s="4" customFormat="1" x14ac:dyDescent="0.35"/>
    <row r="1063" s="4" customFormat="1" x14ac:dyDescent="0.35"/>
    <row r="1064" s="4" customFormat="1" x14ac:dyDescent="0.35"/>
    <row r="1065" s="4" customFormat="1" x14ac:dyDescent="0.35"/>
    <row r="1066" s="4" customFormat="1" x14ac:dyDescent="0.35"/>
    <row r="1067" s="4" customFormat="1" x14ac:dyDescent="0.35"/>
    <row r="1068" s="4" customFormat="1" x14ac:dyDescent="0.35"/>
    <row r="1069" s="4" customFormat="1" x14ac:dyDescent="0.35"/>
    <row r="1070" s="4" customFormat="1" x14ac:dyDescent="0.35"/>
    <row r="1071" s="4" customFormat="1" x14ac:dyDescent="0.35"/>
    <row r="1072" s="4" customFormat="1" x14ac:dyDescent="0.35"/>
    <row r="1073" s="4" customFormat="1" x14ac:dyDescent="0.35"/>
    <row r="1074" s="4" customFormat="1" x14ac:dyDescent="0.35"/>
    <row r="1075" s="4" customFormat="1" x14ac:dyDescent="0.35"/>
    <row r="1076" s="4" customFormat="1" x14ac:dyDescent="0.35"/>
    <row r="1077" s="4" customFormat="1" x14ac:dyDescent="0.35"/>
    <row r="1078" s="4" customFormat="1" x14ac:dyDescent="0.35"/>
    <row r="1079" s="4" customFormat="1" x14ac:dyDescent="0.35"/>
    <row r="1080" s="4" customFormat="1" x14ac:dyDescent="0.35"/>
    <row r="1081" s="4" customFormat="1" x14ac:dyDescent="0.35"/>
    <row r="1082" s="4" customFormat="1" x14ac:dyDescent="0.35"/>
    <row r="1083" s="4" customFormat="1" x14ac:dyDescent="0.35"/>
    <row r="1084" s="4" customFormat="1" x14ac:dyDescent="0.35"/>
    <row r="1085" s="4" customFormat="1" x14ac:dyDescent="0.35"/>
    <row r="1086" s="4" customFormat="1" x14ac:dyDescent="0.35"/>
    <row r="1087" s="4" customFormat="1" x14ac:dyDescent="0.35"/>
    <row r="1088" s="4" customFormat="1" x14ac:dyDescent="0.35"/>
    <row r="1089" s="4" customFormat="1" x14ac:dyDescent="0.35"/>
    <row r="1090" s="4" customFormat="1" x14ac:dyDescent="0.35"/>
    <row r="1091" s="4" customFormat="1" x14ac:dyDescent="0.35"/>
    <row r="1092" s="4" customFormat="1" x14ac:dyDescent="0.35"/>
    <row r="1093" s="4" customFormat="1" x14ac:dyDescent="0.35"/>
    <row r="1094" s="4" customFormat="1" x14ac:dyDescent="0.35"/>
    <row r="1095" s="4" customFormat="1" x14ac:dyDescent="0.35"/>
    <row r="1096" s="4" customFormat="1" x14ac:dyDescent="0.35"/>
    <row r="1097" s="4" customFormat="1" x14ac:dyDescent="0.35"/>
    <row r="1098" s="4" customFormat="1" x14ac:dyDescent="0.35"/>
    <row r="1099" s="4" customFormat="1" x14ac:dyDescent="0.35"/>
    <row r="1100" s="4" customFormat="1" x14ac:dyDescent="0.35"/>
    <row r="1101" s="4" customFormat="1" x14ac:dyDescent="0.35"/>
    <row r="1102" s="4" customFormat="1" x14ac:dyDescent="0.35"/>
    <row r="1103" s="4" customFormat="1" x14ac:dyDescent="0.35"/>
    <row r="1104" s="4" customFormat="1" x14ac:dyDescent="0.35"/>
    <row r="1105" s="4" customFormat="1" x14ac:dyDescent="0.35"/>
    <row r="1106" s="4" customFormat="1" x14ac:dyDescent="0.35"/>
    <row r="1107" s="4" customFormat="1" x14ac:dyDescent="0.35"/>
    <row r="1108" s="4" customFormat="1" x14ac:dyDescent="0.35"/>
    <row r="1109" s="4" customFormat="1" x14ac:dyDescent="0.35"/>
    <row r="1110" s="4" customFormat="1" x14ac:dyDescent="0.35"/>
    <row r="1111" s="4" customFormat="1" x14ac:dyDescent="0.35"/>
    <row r="1112" s="4" customFormat="1" x14ac:dyDescent="0.35"/>
    <row r="1113" s="4" customFormat="1" x14ac:dyDescent="0.35"/>
    <row r="1114" s="4" customFormat="1" x14ac:dyDescent="0.35"/>
    <row r="1115" s="4" customFormat="1" x14ac:dyDescent="0.35"/>
    <row r="1116" s="4" customFormat="1" x14ac:dyDescent="0.35"/>
    <row r="1117" s="4" customFormat="1" x14ac:dyDescent="0.35"/>
    <row r="1118" s="4" customFormat="1" x14ac:dyDescent="0.35"/>
    <row r="1119" s="4" customFormat="1" x14ac:dyDescent="0.35"/>
    <row r="1120" s="4" customFormat="1" x14ac:dyDescent="0.35"/>
    <row r="1121" s="4" customFormat="1" x14ac:dyDescent="0.35"/>
    <row r="1122" s="4" customFormat="1" x14ac:dyDescent="0.35"/>
    <row r="1123" s="4" customFormat="1" x14ac:dyDescent="0.35"/>
    <row r="1124" s="4" customFormat="1" x14ac:dyDescent="0.35"/>
    <row r="1125" s="4" customFormat="1" x14ac:dyDescent="0.35"/>
    <row r="1126" s="4" customFormat="1" x14ac:dyDescent="0.35"/>
    <row r="1127" s="4" customFormat="1" x14ac:dyDescent="0.35"/>
    <row r="1128" s="4" customFormat="1" x14ac:dyDescent="0.35"/>
    <row r="1129" s="4" customFormat="1" x14ac:dyDescent="0.35"/>
    <row r="1130" s="4" customFormat="1" x14ac:dyDescent="0.35"/>
    <row r="1131" s="4" customFormat="1" x14ac:dyDescent="0.35"/>
    <row r="1132" s="4" customFormat="1" x14ac:dyDescent="0.35"/>
    <row r="1133" s="4" customFormat="1" x14ac:dyDescent="0.35"/>
    <row r="1134" s="4" customFormat="1" x14ac:dyDescent="0.35"/>
    <row r="1135" s="4" customFormat="1" x14ac:dyDescent="0.35"/>
    <row r="1136" s="4" customFormat="1" x14ac:dyDescent="0.35"/>
    <row r="1137" s="4" customFormat="1" x14ac:dyDescent="0.35"/>
    <row r="1138" s="4" customFormat="1" x14ac:dyDescent="0.35"/>
    <row r="1139" s="4" customFormat="1" x14ac:dyDescent="0.35"/>
    <row r="1140" s="4" customFormat="1" x14ac:dyDescent="0.35"/>
    <row r="1141" s="4" customFormat="1" x14ac:dyDescent="0.35"/>
    <row r="1142" s="4" customFormat="1" x14ac:dyDescent="0.35"/>
    <row r="1143" s="4" customFormat="1" x14ac:dyDescent="0.35"/>
    <row r="1144" s="4" customFormat="1" x14ac:dyDescent="0.35"/>
    <row r="1145" s="4" customFormat="1" x14ac:dyDescent="0.35"/>
    <row r="1146" s="4" customFormat="1" x14ac:dyDescent="0.35"/>
    <row r="1147" s="4" customFormat="1" x14ac:dyDescent="0.35"/>
    <row r="1148" s="4" customFormat="1" x14ac:dyDescent="0.35"/>
    <row r="1149" s="4" customFormat="1" x14ac:dyDescent="0.35"/>
    <row r="1150" s="4" customFormat="1" x14ac:dyDescent="0.35"/>
    <row r="1151" s="4" customFormat="1" x14ac:dyDescent="0.35"/>
    <row r="1152" s="4" customFormat="1" x14ac:dyDescent="0.35"/>
    <row r="1153" s="4" customFormat="1" x14ac:dyDescent="0.35"/>
    <row r="1154" s="4" customFormat="1" x14ac:dyDescent="0.35"/>
    <row r="1155" s="4" customFormat="1" x14ac:dyDescent="0.35"/>
    <row r="1156" s="4" customFormat="1" x14ac:dyDescent="0.35"/>
    <row r="1157" s="4" customFormat="1" x14ac:dyDescent="0.35"/>
    <row r="1158" s="4" customFormat="1" x14ac:dyDescent="0.35"/>
    <row r="1159" s="4" customFormat="1" x14ac:dyDescent="0.35"/>
    <row r="1160" s="4" customFormat="1" x14ac:dyDescent="0.35"/>
    <row r="1161" s="4" customFormat="1" x14ac:dyDescent="0.35"/>
    <row r="1162" s="4" customFormat="1" x14ac:dyDescent="0.35"/>
    <row r="1163" s="4" customFormat="1" x14ac:dyDescent="0.35"/>
    <row r="1164" s="4" customFormat="1" x14ac:dyDescent="0.35"/>
    <row r="1165" s="4" customFormat="1" x14ac:dyDescent="0.35"/>
    <row r="1166" s="4" customFormat="1" x14ac:dyDescent="0.35"/>
    <row r="1167" s="4" customFormat="1" x14ac:dyDescent="0.35"/>
    <row r="1168" s="4" customFormat="1" x14ac:dyDescent="0.35"/>
    <row r="1169" s="4" customFormat="1" x14ac:dyDescent="0.35"/>
    <row r="1170" s="4" customFormat="1" x14ac:dyDescent="0.35"/>
    <row r="1171" s="4" customFormat="1" x14ac:dyDescent="0.35"/>
    <row r="1172" s="4" customFormat="1" x14ac:dyDescent="0.35"/>
    <row r="1173" s="4" customFormat="1" x14ac:dyDescent="0.35"/>
    <row r="1174" s="4" customFormat="1" x14ac:dyDescent="0.35"/>
    <row r="1175" s="4" customFormat="1" x14ac:dyDescent="0.35"/>
    <row r="1176" s="4" customFormat="1" x14ac:dyDescent="0.35"/>
    <row r="1177" s="4" customFormat="1" x14ac:dyDescent="0.35"/>
    <row r="1178" s="4" customFormat="1" x14ac:dyDescent="0.35"/>
    <row r="1179" s="4" customFormat="1" x14ac:dyDescent="0.35"/>
    <row r="1180" s="4" customFormat="1" x14ac:dyDescent="0.35"/>
    <row r="1181" s="4" customFormat="1" x14ac:dyDescent="0.35"/>
    <row r="1182" s="4" customFormat="1" x14ac:dyDescent="0.35"/>
    <row r="1183" s="4" customFormat="1" x14ac:dyDescent="0.35"/>
    <row r="1184" s="4" customFormat="1" x14ac:dyDescent="0.35"/>
    <row r="1185" s="4" customFormat="1" x14ac:dyDescent="0.35"/>
    <row r="1186" s="4" customFormat="1" x14ac:dyDescent="0.35"/>
    <row r="1187" s="4" customFormat="1" x14ac:dyDescent="0.35"/>
    <row r="1188" s="4" customFormat="1" x14ac:dyDescent="0.35"/>
    <row r="1189" s="4" customFormat="1" x14ac:dyDescent="0.35"/>
    <row r="1190" s="4" customFormat="1" x14ac:dyDescent="0.35"/>
    <row r="1191" s="4" customFormat="1" x14ac:dyDescent="0.35"/>
    <row r="1192" s="4" customFormat="1" x14ac:dyDescent="0.35"/>
    <row r="1193" s="4" customFormat="1" x14ac:dyDescent="0.35"/>
    <row r="1194" s="4" customFormat="1" x14ac:dyDescent="0.35"/>
    <row r="1195" s="4" customFormat="1" x14ac:dyDescent="0.35"/>
    <row r="1196" s="4" customFormat="1" x14ac:dyDescent="0.35"/>
    <row r="1197" s="4" customFormat="1" x14ac:dyDescent="0.35"/>
    <row r="1198" s="4" customFormat="1" x14ac:dyDescent="0.35"/>
    <row r="1199" s="4" customFormat="1" x14ac:dyDescent="0.35"/>
    <row r="1200" s="4" customFormat="1" x14ac:dyDescent="0.35"/>
    <row r="1201" s="4" customFormat="1" x14ac:dyDescent="0.35"/>
    <row r="1202" s="4" customFormat="1" x14ac:dyDescent="0.35"/>
    <row r="1203" s="4" customFormat="1" x14ac:dyDescent="0.35"/>
    <row r="1204" s="4" customFormat="1" x14ac:dyDescent="0.35"/>
    <row r="1205" s="4" customFormat="1" x14ac:dyDescent="0.35"/>
    <row r="1206" s="4" customFormat="1" x14ac:dyDescent="0.35"/>
    <row r="1207" s="4" customFormat="1" x14ac:dyDescent="0.35"/>
    <row r="1208" s="4" customFormat="1" x14ac:dyDescent="0.35"/>
    <row r="1209" s="4" customFormat="1" x14ac:dyDescent="0.35"/>
    <row r="1210" s="4" customFormat="1" x14ac:dyDescent="0.35"/>
    <row r="1211" s="4" customFormat="1" x14ac:dyDescent="0.35"/>
    <row r="1212" s="4" customFormat="1" x14ac:dyDescent="0.35"/>
    <row r="1213" s="4" customFormat="1" x14ac:dyDescent="0.35"/>
    <row r="1214" s="4" customFormat="1" x14ac:dyDescent="0.35"/>
    <row r="1215" s="4" customFormat="1" x14ac:dyDescent="0.35"/>
    <row r="1216" s="4" customFormat="1" x14ac:dyDescent="0.35"/>
    <row r="1217" s="4" customFormat="1" x14ac:dyDescent="0.35"/>
    <row r="1218" s="4" customFormat="1" x14ac:dyDescent="0.35"/>
    <row r="1219" s="4" customFormat="1" x14ac:dyDescent="0.35"/>
    <row r="1220" s="4" customFormat="1" x14ac:dyDescent="0.35"/>
    <row r="1221" s="4" customFormat="1" x14ac:dyDescent="0.35"/>
    <row r="1222" s="4" customFormat="1" x14ac:dyDescent="0.35"/>
    <row r="1223" s="4" customFormat="1" x14ac:dyDescent="0.35"/>
    <row r="1224" s="4" customFormat="1" x14ac:dyDescent="0.35"/>
    <row r="1225" s="4" customFormat="1" x14ac:dyDescent="0.35"/>
    <row r="1226" s="4" customFormat="1" x14ac:dyDescent="0.35"/>
    <row r="1227" s="4" customFormat="1" x14ac:dyDescent="0.35"/>
    <row r="1228" s="4" customFormat="1" x14ac:dyDescent="0.35"/>
    <row r="1229" s="4" customFormat="1" x14ac:dyDescent="0.35"/>
    <row r="1230" s="4" customFormat="1" x14ac:dyDescent="0.35"/>
    <row r="1231" s="4" customFormat="1" x14ac:dyDescent="0.35"/>
    <row r="1232" s="4" customFormat="1" x14ac:dyDescent="0.35"/>
    <row r="1233" s="4" customFormat="1" x14ac:dyDescent="0.35"/>
    <row r="1234" s="4" customFormat="1" x14ac:dyDescent="0.35"/>
    <row r="1235" s="4" customFormat="1" x14ac:dyDescent="0.35"/>
    <row r="1236" s="4" customFormat="1" x14ac:dyDescent="0.35"/>
    <row r="1237" s="4" customFormat="1" x14ac:dyDescent="0.35"/>
    <row r="1238" s="4" customFormat="1" x14ac:dyDescent="0.35"/>
    <row r="1239" s="4" customFormat="1" x14ac:dyDescent="0.35"/>
    <row r="1240" s="4" customFormat="1" x14ac:dyDescent="0.35"/>
    <row r="1241" s="4" customFormat="1" x14ac:dyDescent="0.35"/>
    <row r="1242" s="4" customFormat="1" x14ac:dyDescent="0.35"/>
    <row r="1243" s="4" customFormat="1" x14ac:dyDescent="0.35"/>
    <row r="1244" s="4" customFormat="1" x14ac:dyDescent="0.35"/>
    <row r="1245" s="4" customFormat="1" x14ac:dyDescent="0.35"/>
    <row r="1246" s="4" customFormat="1" x14ac:dyDescent="0.35"/>
    <row r="1247" s="4" customFormat="1" x14ac:dyDescent="0.35"/>
    <row r="1248" s="4" customFormat="1" x14ac:dyDescent="0.35"/>
    <row r="1249" s="4" customFormat="1" x14ac:dyDescent="0.35"/>
    <row r="1250" s="4" customFormat="1" x14ac:dyDescent="0.35"/>
    <row r="1251" s="4" customFormat="1" x14ac:dyDescent="0.35"/>
    <row r="1252" s="4" customFormat="1" x14ac:dyDescent="0.35"/>
    <row r="1253" s="4" customFormat="1" x14ac:dyDescent="0.35"/>
    <row r="1254" s="4" customFormat="1" x14ac:dyDescent="0.35"/>
    <row r="1255" s="4" customFormat="1" x14ac:dyDescent="0.35"/>
    <row r="1256" s="4" customFormat="1" x14ac:dyDescent="0.35"/>
    <row r="1257" s="4" customFormat="1" x14ac:dyDescent="0.35"/>
    <row r="1258" s="4" customFormat="1" x14ac:dyDescent="0.35"/>
    <row r="1259" s="4" customFormat="1" x14ac:dyDescent="0.35"/>
    <row r="1260" s="4" customFormat="1" x14ac:dyDescent="0.35"/>
    <row r="1261" s="4" customFormat="1" x14ac:dyDescent="0.35"/>
    <row r="1262" s="4" customFormat="1" x14ac:dyDescent="0.35"/>
    <row r="1263" s="4" customFormat="1" x14ac:dyDescent="0.35"/>
    <row r="1264" s="4" customFormat="1" x14ac:dyDescent="0.35"/>
    <row r="1265" s="4" customFormat="1" x14ac:dyDescent="0.35"/>
    <row r="1266" s="4" customFormat="1" x14ac:dyDescent="0.35"/>
    <row r="1267" s="4" customFormat="1" x14ac:dyDescent="0.35"/>
    <row r="1268" s="4" customFormat="1" x14ac:dyDescent="0.35"/>
    <row r="1269" s="4" customFormat="1" x14ac:dyDescent="0.35"/>
    <row r="1270" s="4" customFormat="1" x14ac:dyDescent="0.35"/>
    <row r="1271" s="4" customFormat="1" x14ac:dyDescent="0.35"/>
    <row r="1272" s="4" customFormat="1" x14ac:dyDescent="0.35"/>
    <row r="1273" s="4" customFormat="1" x14ac:dyDescent="0.35"/>
    <row r="1274" s="4" customFormat="1" x14ac:dyDescent="0.35"/>
    <row r="1275" s="4" customFormat="1" x14ac:dyDescent="0.35"/>
    <row r="1276" s="4" customFormat="1" x14ac:dyDescent="0.35"/>
    <row r="1277" s="4" customFormat="1" x14ac:dyDescent="0.35"/>
    <row r="1278" s="4" customFormat="1" x14ac:dyDescent="0.35"/>
    <row r="1279" s="4" customFormat="1" x14ac:dyDescent="0.35"/>
    <row r="1280" s="4" customFormat="1" x14ac:dyDescent="0.35"/>
    <row r="1281" s="4" customFormat="1" x14ac:dyDescent="0.35"/>
    <row r="1282" s="4" customFormat="1" x14ac:dyDescent="0.35"/>
    <row r="1283" s="4" customFormat="1" x14ac:dyDescent="0.35"/>
    <row r="1284" s="4" customFormat="1" x14ac:dyDescent="0.35"/>
    <row r="1285" s="4" customFormat="1" x14ac:dyDescent="0.35"/>
    <row r="1286" s="4" customFormat="1" x14ac:dyDescent="0.35"/>
    <row r="1287" s="4" customFormat="1" x14ac:dyDescent="0.35"/>
    <row r="1288" s="4" customFormat="1" x14ac:dyDescent="0.35"/>
    <row r="1289" s="4" customFormat="1" x14ac:dyDescent="0.35"/>
    <row r="1290" s="4" customFormat="1" x14ac:dyDescent="0.35"/>
    <row r="1291" s="4" customFormat="1" x14ac:dyDescent="0.35"/>
    <row r="1292" s="4" customFormat="1" x14ac:dyDescent="0.35"/>
    <row r="1293" s="4" customFormat="1" x14ac:dyDescent="0.35"/>
    <row r="1294" s="4" customFormat="1" x14ac:dyDescent="0.35"/>
    <row r="1295" s="4" customFormat="1" x14ac:dyDescent="0.35"/>
    <row r="1296" s="4" customFormat="1" x14ac:dyDescent="0.35"/>
    <row r="1297" s="4" customFormat="1" x14ac:dyDescent="0.35"/>
    <row r="1298" s="4" customFormat="1" x14ac:dyDescent="0.35"/>
    <row r="1299" s="4" customFormat="1" x14ac:dyDescent="0.35"/>
    <row r="1300" s="4" customFormat="1" x14ac:dyDescent="0.35"/>
    <row r="1301" s="4" customFormat="1" x14ac:dyDescent="0.35"/>
    <row r="1302" s="4" customFormat="1" x14ac:dyDescent="0.35"/>
    <row r="1303" s="4" customFormat="1" x14ac:dyDescent="0.35"/>
    <row r="1304" s="4" customFormat="1" x14ac:dyDescent="0.35"/>
    <row r="1305" s="4" customFormat="1" x14ac:dyDescent="0.35"/>
    <row r="1306" s="4" customFormat="1" x14ac:dyDescent="0.35"/>
    <row r="1307" s="4" customFormat="1" x14ac:dyDescent="0.35"/>
    <row r="1308" s="4" customFormat="1" x14ac:dyDescent="0.35"/>
    <row r="1309" s="4" customFormat="1" x14ac:dyDescent="0.35"/>
    <row r="1310" s="4" customFormat="1" x14ac:dyDescent="0.35"/>
    <row r="1311" s="4" customFormat="1" x14ac:dyDescent="0.35"/>
    <row r="1312" s="4" customFormat="1" x14ac:dyDescent="0.35"/>
    <row r="1313" s="4" customFormat="1" x14ac:dyDescent="0.35"/>
    <row r="1314" s="4" customFormat="1" x14ac:dyDescent="0.35"/>
    <row r="1315" s="4" customFormat="1" x14ac:dyDescent="0.35"/>
    <row r="1316" s="4" customFormat="1" x14ac:dyDescent="0.35"/>
    <row r="1317" s="4" customFormat="1" x14ac:dyDescent="0.35"/>
    <row r="1318" s="4" customFormat="1" x14ac:dyDescent="0.35"/>
    <row r="1319" s="4" customFormat="1" x14ac:dyDescent="0.35"/>
    <row r="1320" s="4" customFormat="1" x14ac:dyDescent="0.35"/>
    <row r="1321" s="4" customFormat="1" x14ac:dyDescent="0.35"/>
    <row r="1322" s="4" customFormat="1" x14ac:dyDescent="0.35"/>
    <row r="1323" s="4" customFormat="1" x14ac:dyDescent="0.35"/>
    <row r="1324" s="4" customFormat="1" x14ac:dyDescent="0.35"/>
    <row r="1325" s="4" customFormat="1" x14ac:dyDescent="0.35"/>
    <row r="1326" s="4" customFormat="1" x14ac:dyDescent="0.35"/>
    <row r="1327" s="4" customFormat="1" x14ac:dyDescent="0.35"/>
    <row r="1328" s="4" customFormat="1" x14ac:dyDescent="0.35"/>
    <row r="1329" s="4" customFormat="1" x14ac:dyDescent="0.35"/>
    <row r="1330" s="4" customFormat="1" x14ac:dyDescent="0.35"/>
    <row r="1331" s="4" customFormat="1" x14ac:dyDescent="0.35"/>
    <row r="1332" s="4" customFormat="1" x14ac:dyDescent="0.35"/>
    <row r="1333" s="4" customFormat="1" x14ac:dyDescent="0.35"/>
    <row r="1334" s="4" customFormat="1" x14ac:dyDescent="0.35"/>
    <row r="1335" s="4" customFormat="1" x14ac:dyDescent="0.35"/>
    <row r="1336" s="4" customFormat="1" x14ac:dyDescent="0.35"/>
    <row r="1337" s="4" customFormat="1" x14ac:dyDescent="0.35"/>
    <row r="1338" s="4" customFormat="1" x14ac:dyDescent="0.35"/>
    <row r="1339" s="4" customFormat="1" x14ac:dyDescent="0.35"/>
    <row r="1340" s="4" customFormat="1" x14ac:dyDescent="0.35"/>
    <row r="1341" s="4" customFormat="1" x14ac:dyDescent="0.35"/>
    <row r="1342" s="4" customFormat="1" x14ac:dyDescent="0.35"/>
    <row r="1343" s="4" customFormat="1" x14ac:dyDescent="0.35"/>
    <row r="1344" s="4" customFormat="1" x14ac:dyDescent="0.35"/>
    <row r="1345" s="4" customFormat="1" x14ac:dyDescent="0.35"/>
    <row r="1346" s="4" customFormat="1" x14ac:dyDescent="0.35"/>
    <row r="1347" s="4" customFormat="1" x14ac:dyDescent="0.35"/>
    <row r="1348" s="4" customFormat="1" x14ac:dyDescent="0.35"/>
    <row r="1349" s="4" customFormat="1" x14ac:dyDescent="0.35"/>
    <row r="1350" s="4" customFormat="1" x14ac:dyDescent="0.35"/>
    <row r="1351" s="4" customFormat="1" x14ac:dyDescent="0.35"/>
    <row r="1352" s="4" customFormat="1" x14ac:dyDescent="0.35"/>
    <row r="1353" s="4" customFormat="1" x14ac:dyDescent="0.35"/>
    <row r="1354" s="4" customFormat="1" x14ac:dyDescent="0.35"/>
    <row r="1355" s="4" customFormat="1" x14ac:dyDescent="0.35"/>
    <row r="1356" s="4" customFormat="1" x14ac:dyDescent="0.35"/>
    <row r="1357" s="4" customFormat="1" x14ac:dyDescent="0.35"/>
    <row r="1358" s="4" customFormat="1" x14ac:dyDescent="0.35"/>
    <row r="1359" s="4" customFormat="1" x14ac:dyDescent="0.35"/>
    <row r="1360" s="4" customFormat="1" x14ac:dyDescent="0.35"/>
    <row r="1361" s="4" customFormat="1" x14ac:dyDescent="0.35"/>
    <row r="1362" s="4" customFormat="1" x14ac:dyDescent="0.35"/>
    <row r="1363" s="4" customFormat="1" x14ac:dyDescent="0.35"/>
    <row r="1364" s="4" customFormat="1" x14ac:dyDescent="0.35"/>
    <row r="1365" s="4" customFormat="1" x14ac:dyDescent="0.35"/>
    <row r="1366" s="4" customFormat="1" x14ac:dyDescent="0.35"/>
    <row r="1367" s="4" customFormat="1" x14ac:dyDescent="0.35"/>
    <row r="1368" s="4" customFormat="1" x14ac:dyDescent="0.35"/>
    <row r="1369" s="4" customFormat="1" x14ac:dyDescent="0.35"/>
    <row r="1370" s="4" customFormat="1" x14ac:dyDescent="0.35"/>
    <row r="1371" s="4" customFormat="1" x14ac:dyDescent="0.35"/>
    <row r="1372" s="4" customFormat="1" x14ac:dyDescent="0.35"/>
    <row r="1373" s="4" customFormat="1" x14ac:dyDescent="0.35"/>
    <row r="1374" s="4" customFormat="1" x14ac:dyDescent="0.35"/>
    <row r="1375" s="4" customFormat="1" x14ac:dyDescent="0.35"/>
    <row r="1376" s="4" customFormat="1" x14ac:dyDescent="0.35"/>
    <row r="1377" s="4" customFormat="1" x14ac:dyDescent="0.35"/>
    <row r="1378" s="4" customFormat="1" x14ac:dyDescent="0.35"/>
    <row r="1379" s="4" customFormat="1" x14ac:dyDescent="0.35"/>
    <row r="1380" s="4" customFormat="1" x14ac:dyDescent="0.35"/>
    <row r="1381" s="4" customFormat="1" x14ac:dyDescent="0.35"/>
    <row r="1382" s="4" customFormat="1" x14ac:dyDescent="0.35"/>
    <row r="1383" s="4" customFormat="1" x14ac:dyDescent="0.35"/>
    <row r="1384" s="4" customFormat="1" x14ac:dyDescent="0.35"/>
    <row r="1385" s="4" customFormat="1" x14ac:dyDescent="0.35"/>
    <row r="1386" s="4" customFormat="1" x14ac:dyDescent="0.35"/>
    <row r="1387" s="4" customFormat="1" x14ac:dyDescent="0.35"/>
    <row r="1388" s="4" customFormat="1" x14ac:dyDescent="0.35"/>
    <row r="1389" s="4" customFormat="1" x14ac:dyDescent="0.35"/>
    <row r="1390" s="4" customFormat="1" x14ac:dyDescent="0.35"/>
    <row r="1391" s="4" customFormat="1" x14ac:dyDescent="0.35"/>
    <row r="1392" s="4" customFormat="1" x14ac:dyDescent="0.35"/>
    <row r="1393" s="4" customFormat="1" x14ac:dyDescent="0.35"/>
    <row r="1394" s="4" customFormat="1" x14ac:dyDescent="0.35"/>
    <row r="1395" s="4" customFormat="1" x14ac:dyDescent="0.35"/>
    <row r="1396" s="4" customFormat="1" x14ac:dyDescent="0.35"/>
    <row r="1397" s="4" customFormat="1" x14ac:dyDescent="0.35"/>
    <row r="1398" s="4" customFormat="1" x14ac:dyDescent="0.35"/>
    <row r="1399" s="4" customFormat="1" x14ac:dyDescent="0.35"/>
    <row r="1400" s="4" customFormat="1" x14ac:dyDescent="0.35"/>
    <row r="1401" s="4" customFormat="1" x14ac:dyDescent="0.35"/>
    <row r="1402" s="4" customFormat="1" x14ac:dyDescent="0.35"/>
    <row r="1403" s="4" customFormat="1" x14ac:dyDescent="0.35"/>
    <row r="1404" s="4" customFormat="1" x14ac:dyDescent="0.35"/>
    <row r="1405" s="4" customFormat="1" x14ac:dyDescent="0.35"/>
    <row r="1406" s="4" customFormat="1" x14ac:dyDescent="0.35"/>
    <row r="1407" s="4" customFormat="1" x14ac:dyDescent="0.35"/>
    <row r="1408" s="4" customFormat="1" x14ac:dyDescent="0.35"/>
    <row r="1409" s="4" customFormat="1" x14ac:dyDescent="0.35"/>
    <row r="1410" s="4" customFormat="1" x14ac:dyDescent="0.35"/>
    <row r="1411" s="4" customFormat="1" x14ac:dyDescent="0.35"/>
    <row r="1412" s="4" customFormat="1" x14ac:dyDescent="0.35"/>
    <row r="1413" s="4" customFormat="1" x14ac:dyDescent="0.35"/>
    <row r="1414" s="4" customFormat="1" x14ac:dyDescent="0.35"/>
    <row r="1415" s="4" customFormat="1" x14ac:dyDescent="0.35"/>
    <row r="1416" s="4" customFormat="1" x14ac:dyDescent="0.35"/>
    <row r="1417" s="4" customFormat="1" x14ac:dyDescent="0.35"/>
    <row r="1418" s="4" customFormat="1" x14ac:dyDescent="0.35"/>
    <row r="1419" s="4" customFormat="1" x14ac:dyDescent="0.35"/>
    <row r="1420" s="4" customFormat="1" x14ac:dyDescent="0.35"/>
    <row r="1421" s="4" customFormat="1" x14ac:dyDescent="0.35"/>
    <row r="1422" s="4" customFormat="1" x14ac:dyDescent="0.35"/>
    <row r="1423" s="4" customFormat="1" x14ac:dyDescent="0.35"/>
    <row r="1424" s="4" customFormat="1" x14ac:dyDescent="0.35"/>
    <row r="1425" s="4" customFormat="1" x14ac:dyDescent="0.35"/>
    <row r="1426" s="4" customFormat="1" x14ac:dyDescent="0.35"/>
    <row r="1427" s="4" customFormat="1" x14ac:dyDescent="0.35"/>
    <row r="1428" s="4" customFormat="1" x14ac:dyDescent="0.35"/>
    <row r="1429" s="4" customFormat="1" x14ac:dyDescent="0.35"/>
    <row r="1430" s="4" customFormat="1" x14ac:dyDescent="0.35"/>
    <row r="1431" s="4" customFormat="1" x14ac:dyDescent="0.35"/>
    <row r="1432" s="4" customFormat="1" x14ac:dyDescent="0.35"/>
    <row r="1433" s="4" customFormat="1" x14ac:dyDescent="0.35"/>
    <row r="1434" s="4" customFormat="1" x14ac:dyDescent="0.35"/>
    <row r="1435" s="4" customFormat="1" x14ac:dyDescent="0.35"/>
    <row r="1436" s="4" customFormat="1" x14ac:dyDescent="0.35"/>
    <row r="1437" s="4" customFormat="1" x14ac:dyDescent="0.35"/>
    <row r="1438" s="4" customFormat="1" x14ac:dyDescent="0.35"/>
    <row r="1439" s="4" customFormat="1" x14ac:dyDescent="0.35"/>
    <row r="1440" s="4" customFormat="1" x14ac:dyDescent="0.35"/>
    <row r="1441" s="4" customFormat="1" x14ac:dyDescent="0.35"/>
    <row r="1442" s="4" customFormat="1" x14ac:dyDescent="0.35"/>
    <row r="1443" s="4" customFormat="1" x14ac:dyDescent="0.35"/>
    <row r="1444" s="4" customFormat="1" x14ac:dyDescent="0.35"/>
    <row r="1445" s="4" customFormat="1" x14ac:dyDescent="0.35"/>
    <row r="1446" s="4" customFormat="1" x14ac:dyDescent="0.35"/>
    <row r="1447" s="4" customFormat="1" x14ac:dyDescent="0.35"/>
    <row r="1448" s="4" customFormat="1" x14ac:dyDescent="0.35"/>
    <row r="1449" s="4" customFormat="1" x14ac:dyDescent="0.35"/>
    <row r="1450" s="4" customFormat="1" x14ac:dyDescent="0.35"/>
    <row r="1451" s="4" customFormat="1" x14ac:dyDescent="0.35"/>
    <row r="1452" s="4" customFormat="1" x14ac:dyDescent="0.35"/>
    <row r="1453" s="4" customFormat="1" x14ac:dyDescent="0.35"/>
    <row r="1454" s="4" customFormat="1" x14ac:dyDescent="0.35"/>
    <row r="1455" s="4" customFormat="1" x14ac:dyDescent="0.35"/>
    <row r="1456" s="4" customFormat="1" x14ac:dyDescent="0.35"/>
    <row r="1457" s="4" customFormat="1" x14ac:dyDescent="0.35"/>
    <row r="1458" s="4" customFormat="1" x14ac:dyDescent="0.35"/>
    <row r="1459" s="4" customFormat="1" x14ac:dyDescent="0.35"/>
    <row r="1460" s="4" customFormat="1" x14ac:dyDescent="0.35"/>
    <row r="1461" s="4" customFormat="1" x14ac:dyDescent="0.35"/>
    <row r="1462" s="4" customFormat="1" x14ac:dyDescent="0.35"/>
    <row r="1463" s="4" customFormat="1" x14ac:dyDescent="0.35"/>
    <row r="1464" s="4" customFormat="1" x14ac:dyDescent="0.35"/>
    <row r="1465" s="4" customFormat="1" x14ac:dyDescent="0.35"/>
    <row r="1466" s="4" customFormat="1" x14ac:dyDescent="0.35"/>
    <row r="1467" s="4" customFormat="1" x14ac:dyDescent="0.35"/>
    <row r="1468" s="4" customFormat="1" x14ac:dyDescent="0.35"/>
    <row r="1469" s="4" customFormat="1" x14ac:dyDescent="0.35"/>
    <row r="1470" s="4" customFormat="1" x14ac:dyDescent="0.35"/>
    <row r="1471" s="4" customFormat="1" x14ac:dyDescent="0.35"/>
    <row r="1472" s="4" customFormat="1" x14ac:dyDescent="0.35"/>
    <row r="1473" s="4" customFormat="1" x14ac:dyDescent="0.35"/>
    <row r="1474" s="4" customFormat="1" x14ac:dyDescent="0.35"/>
    <row r="1475" s="4" customFormat="1" x14ac:dyDescent="0.35"/>
    <row r="1476" s="4" customFormat="1" x14ac:dyDescent="0.35"/>
    <row r="1477" s="4" customFormat="1" x14ac:dyDescent="0.35"/>
    <row r="1478" s="4" customFormat="1" x14ac:dyDescent="0.35"/>
    <row r="1479" s="4" customFormat="1" x14ac:dyDescent="0.35"/>
    <row r="1480" s="4" customFormat="1" x14ac:dyDescent="0.35"/>
    <row r="1481" s="4" customFormat="1" x14ac:dyDescent="0.35"/>
    <row r="1482" s="4" customFormat="1" x14ac:dyDescent="0.35"/>
    <row r="1483" s="4" customFormat="1" x14ac:dyDescent="0.35"/>
    <row r="1484" s="4" customFormat="1" x14ac:dyDescent="0.35"/>
    <row r="1485" s="4" customFormat="1" x14ac:dyDescent="0.35"/>
    <row r="1486" s="4" customFormat="1" x14ac:dyDescent="0.35"/>
    <row r="1487" s="4" customFormat="1" x14ac:dyDescent="0.35"/>
    <row r="1488" s="4" customFormat="1" x14ac:dyDescent="0.35"/>
    <row r="1489" s="4" customFormat="1" x14ac:dyDescent="0.35"/>
    <row r="1490" s="4" customFormat="1" x14ac:dyDescent="0.35"/>
    <row r="1491" s="4" customFormat="1" x14ac:dyDescent="0.35"/>
    <row r="1492" s="4" customFormat="1" x14ac:dyDescent="0.35"/>
    <row r="1493" s="4" customFormat="1" x14ac:dyDescent="0.35"/>
    <row r="1494" s="4" customFormat="1" x14ac:dyDescent="0.35"/>
    <row r="1495" s="4" customFormat="1" x14ac:dyDescent="0.35"/>
    <row r="1496" s="4" customFormat="1" x14ac:dyDescent="0.35"/>
    <row r="1497" s="4" customFormat="1" x14ac:dyDescent="0.35"/>
    <row r="1498" s="4" customFormat="1" x14ac:dyDescent="0.35"/>
    <row r="1499" s="4" customFormat="1" x14ac:dyDescent="0.35"/>
    <row r="1500" s="4" customFormat="1" x14ac:dyDescent="0.35"/>
    <row r="1501" s="4" customFormat="1" x14ac:dyDescent="0.35"/>
    <row r="1502" s="4" customFormat="1" x14ac:dyDescent="0.35"/>
    <row r="1503" s="4" customFormat="1" x14ac:dyDescent="0.35"/>
    <row r="1504" s="4" customFormat="1" x14ac:dyDescent="0.35"/>
    <row r="1505" s="4" customFormat="1" x14ac:dyDescent="0.35"/>
    <row r="1506" s="4" customFormat="1" x14ac:dyDescent="0.35"/>
    <row r="1507" s="4" customFormat="1" x14ac:dyDescent="0.35"/>
    <row r="1508" s="4" customFormat="1" x14ac:dyDescent="0.35"/>
    <row r="1509" s="4" customFormat="1" x14ac:dyDescent="0.35"/>
    <row r="1510" s="4" customFormat="1" x14ac:dyDescent="0.35"/>
    <row r="1511" s="4" customFormat="1" x14ac:dyDescent="0.35"/>
    <row r="1512" s="4" customFormat="1" x14ac:dyDescent="0.35"/>
    <row r="1513" s="4" customFormat="1" x14ac:dyDescent="0.35"/>
    <row r="1514" s="4" customFormat="1" x14ac:dyDescent="0.35"/>
    <row r="1515" s="4" customFormat="1" x14ac:dyDescent="0.35"/>
    <row r="1516" s="4" customFormat="1" x14ac:dyDescent="0.35"/>
    <row r="1517" s="4" customFormat="1" x14ac:dyDescent="0.35"/>
    <row r="1518" s="4" customFormat="1" x14ac:dyDescent="0.35"/>
    <row r="1519" s="4" customFormat="1" x14ac:dyDescent="0.35"/>
    <row r="1520" s="4" customFormat="1" x14ac:dyDescent="0.35"/>
    <row r="1521" s="4" customFormat="1" x14ac:dyDescent="0.35"/>
    <row r="1522" s="4" customFormat="1" x14ac:dyDescent="0.35"/>
    <row r="1523" s="4" customFormat="1" x14ac:dyDescent="0.35"/>
    <row r="1524" s="4" customFormat="1" x14ac:dyDescent="0.35"/>
    <row r="1525" s="4" customFormat="1" x14ac:dyDescent="0.35"/>
    <row r="1526" s="4" customFormat="1" x14ac:dyDescent="0.35"/>
    <row r="1527" s="4" customFormat="1" x14ac:dyDescent="0.35"/>
    <row r="1528" s="4" customFormat="1" x14ac:dyDescent="0.35"/>
    <row r="1529" s="4" customFormat="1" x14ac:dyDescent="0.35"/>
    <row r="1530" s="4" customFormat="1" x14ac:dyDescent="0.35"/>
    <row r="1531" s="4" customFormat="1" x14ac:dyDescent="0.35"/>
    <row r="1532" s="4" customFormat="1" x14ac:dyDescent="0.35"/>
    <row r="1533" s="4" customFormat="1" x14ac:dyDescent="0.35"/>
    <row r="1534" s="4" customFormat="1" x14ac:dyDescent="0.35"/>
    <row r="1535" s="4" customFormat="1" x14ac:dyDescent="0.35"/>
    <row r="1536" s="4" customFormat="1" x14ac:dyDescent="0.35"/>
    <row r="1537" s="4" customFormat="1" x14ac:dyDescent="0.35"/>
    <row r="1538" s="4" customFormat="1" x14ac:dyDescent="0.35"/>
    <row r="1539" s="4" customFormat="1" x14ac:dyDescent="0.35"/>
    <row r="1540" s="4" customFormat="1" x14ac:dyDescent="0.35"/>
    <row r="1541" s="4" customFormat="1" x14ac:dyDescent="0.35"/>
    <row r="1542" s="4" customFormat="1" x14ac:dyDescent="0.35"/>
    <row r="1543" s="4" customFormat="1" x14ac:dyDescent="0.35"/>
    <row r="1544" s="4" customFormat="1" x14ac:dyDescent="0.35"/>
    <row r="1545" s="4" customFormat="1" x14ac:dyDescent="0.35"/>
    <row r="1546" s="4" customFormat="1" x14ac:dyDescent="0.35"/>
    <row r="1547" s="4" customFormat="1" x14ac:dyDescent="0.35"/>
    <row r="1548" s="4" customFormat="1" x14ac:dyDescent="0.35"/>
    <row r="1549" s="4" customFormat="1" x14ac:dyDescent="0.35"/>
    <row r="1550" s="4" customFormat="1" x14ac:dyDescent="0.35"/>
    <row r="1551" s="4" customFormat="1" x14ac:dyDescent="0.35"/>
    <row r="1552" s="4" customFormat="1" x14ac:dyDescent="0.35"/>
    <row r="1553" s="4" customFormat="1" x14ac:dyDescent="0.35"/>
    <row r="1554" s="4" customFormat="1" x14ac:dyDescent="0.35"/>
    <row r="1555" s="4" customFormat="1" x14ac:dyDescent="0.35"/>
    <row r="1556" s="4" customFormat="1" x14ac:dyDescent="0.35"/>
    <row r="1557" s="4" customFormat="1" x14ac:dyDescent="0.35"/>
    <row r="1558" s="4" customFormat="1" x14ac:dyDescent="0.35"/>
    <row r="1559" s="4" customFormat="1" x14ac:dyDescent="0.35"/>
    <row r="1560" s="4" customFormat="1" x14ac:dyDescent="0.35"/>
    <row r="1561" s="4" customFormat="1" x14ac:dyDescent="0.35"/>
    <row r="1562" s="4" customFormat="1" x14ac:dyDescent="0.35"/>
    <row r="1563" s="4" customFormat="1" x14ac:dyDescent="0.35"/>
    <row r="1564" s="4" customFormat="1" x14ac:dyDescent="0.35"/>
    <row r="1565" s="4" customFormat="1" x14ac:dyDescent="0.35"/>
    <row r="1566" s="4" customFormat="1" x14ac:dyDescent="0.35"/>
    <row r="1567" s="4" customFormat="1" x14ac:dyDescent="0.35"/>
    <row r="1568" s="4" customFormat="1" x14ac:dyDescent="0.35"/>
    <row r="1569" s="4" customFormat="1" x14ac:dyDescent="0.35"/>
    <row r="1570" s="4" customFormat="1" x14ac:dyDescent="0.35"/>
    <row r="1571" s="4" customFormat="1" x14ac:dyDescent="0.35"/>
    <row r="1572" s="4" customFormat="1" x14ac:dyDescent="0.35"/>
    <row r="1573" s="4" customFormat="1" x14ac:dyDescent="0.35"/>
    <row r="1574" s="4" customFormat="1" x14ac:dyDescent="0.35"/>
    <row r="1575" s="4" customFormat="1" x14ac:dyDescent="0.35"/>
    <row r="1576" s="4" customFormat="1" x14ac:dyDescent="0.35"/>
    <row r="1577" s="4" customFormat="1" x14ac:dyDescent="0.35"/>
    <row r="1578" s="4" customFormat="1" x14ac:dyDescent="0.35"/>
    <row r="1579" s="4" customFormat="1" x14ac:dyDescent="0.35"/>
    <row r="1580" s="4" customFormat="1" x14ac:dyDescent="0.35"/>
    <row r="1581" s="4" customFormat="1" x14ac:dyDescent="0.35"/>
    <row r="1582" s="4" customFormat="1" x14ac:dyDescent="0.35"/>
    <row r="1583" s="4" customFormat="1" x14ac:dyDescent="0.35"/>
    <row r="1584" s="4" customFormat="1" x14ac:dyDescent="0.35"/>
    <row r="1585" s="4" customFormat="1" x14ac:dyDescent="0.35"/>
    <row r="1586" s="4" customFormat="1" x14ac:dyDescent="0.35"/>
    <row r="1587" s="4" customFormat="1" x14ac:dyDescent="0.35"/>
    <row r="1588" s="4" customFormat="1" x14ac:dyDescent="0.35"/>
    <row r="1589" s="4" customFormat="1" x14ac:dyDescent="0.35"/>
    <row r="1590" s="4" customFormat="1" x14ac:dyDescent="0.35"/>
    <row r="1591" s="4" customFormat="1" x14ac:dyDescent="0.35"/>
    <row r="1592" s="4" customFormat="1" x14ac:dyDescent="0.35"/>
    <row r="1593" s="4" customFormat="1" x14ac:dyDescent="0.35"/>
    <row r="1594" s="4" customFormat="1" x14ac:dyDescent="0.35"/>
    <row r="1595" s="4" customFormat="1" x14ac:dyDescent="0.35"/>
    <row r="1596" s="4" customFormat="1" x14ac:dyDescent="0.35"/>
    <row r="1597" s="4" customFormat="1" x14ac:dyDescent="0.35"/>
    <row r="1598" s="4" customFormat="1" x14ac:dyDescent="0.35"/>
    <row r="1599" s="4" customFormat="1" x14ac:dyDescent="0.35"/>
    <row r="1600" s="4" customFormat="1" x14ac:dyDescent="0.35"/>
    <row r="1601" s="4" customFormat="1" x14ac:dyDescent="0.35"/>
    <row r="1602" s="4" customFormat="1" x14ac:dyDescent="0.35"/>
    <row r="1603" s="4" customFormat="1" x14ac:dyDescent="0.35"/>
    <row r="1604" s="4" customFormat="1" x14ac:dyDescent="0.35"/>
    <row r="1605" s="4" customFormat="1" x14ac:dyDescent="0.35"/>
    <row r="1606" s="4" customFormat="1" x14ac:dyDescent="0.35"/>
    <row r="1607" s="4" customFormat="1" x14ac:dyDescent="0.35"/>
    <row r="1608" s="4" customFormat="1" x14ac:dyDescent="0.35"/>
    <row r="1609" s="4" customFormat="1" x14ac:dyDescent="0.35"/>
    <row r="1610" s="4" customFormat="1" x14ac:dyDescent="0.35"/>
    <row r="1611" s="4" customFormat="1" x14ac:dyDescent="0.35"/>
    <row r="1612" s="4" customFormat="1" x14ac:dyDescent="0.35"/>
    <row r="1613" s="4" customFormat="1" x14ac:dyDescent="0.35"/>
    <row r="1614" s="4" customFormat="1" x14ac:dyDescent="0.35"/>
    <row r="1615" s="4" customFormat="1" x14ac:dyDescent="0.35"/>
    <row r="1616" s="4" customFormat="1" x14ac:dyDescent="0.35"/>
    <row r="1617" s="4" customFormat="1" x14ac:dyDescent="0.35"/>
    <row r="1618" s="4" customFormat="1" x14ac:dyDescent="0.35"/>
    <row r="1619" s="4" customFormat="1" x14ac:dyDescent="0.35"/>
    <row r="1620" s="4" customFormat="1" x14ac:dyDescent="0.35"/>
    <row r="1621" s="4" customFormat="1" x14ac:dyDescent="0.35"/>
    <row r="1622" s="4" customFormat="1" x14ac:dyDescent="0.35"/>
    <row r="1623" s="4" customFormat="1" x14ac:dyDescent="0.35"/>
    <row r="1624" s="4" customFormat="1" x14ac:dyDescent="0.35"/>
    <row r="1625" s="4" customFormat="1" x14ac:dyDescent="0.35"/>
    <row r="1626" s="4" customFormat="1" x14ac:dyDescent="0.35"/>
    <row r="1627" s="4" customFormat="1" x14ac:dyDescent="0.35"/>
    <row r="1628" s="4" customFormat="1" x14ac:dyDescent="0.35"/>
    <row r="1629" s="4" customFormat="1" x14ac:dyDescent="0.35"/>
    <row r="1630" s="4" customFormat="1" x14ac:dyDescent="0.35"/>
    <row r="1631" s="4" customFormat="1" x14ac:dyDescent="0.35"/>
    <row r="1632" s="4" customFormat="1" x14ac:dyDescent="0.35"/>
    <row r="1633" s="4" customFormat="1" x14ac:dyDescent="0.35"/>
    <row r="1634" s="4" customFormat="1" x14ac:dyDescent="0.35"/>
    <row r="1635" s="4" customFormat="1" x14ac:dyDescent="0.35"/>
    <row r="1636" s="4" customFormat="1" x14ac:dyDescent="0.35"/>
    <row r="1637" s="4" customFormat="1" x14ac:dyDescent="0.35"/>
    <row r="1638" s="4" customFormat="1" x14ac:dyDescent="0.35"/>
    <row r="1639" s="4" customFormat="1" x14ac:dyDescent="0.35"/>
    <row r="1640" s="4" customFormat="1" x14ac:dyDescent="0.35"/>
    <row r="1641" s="4" customFormat="1" x14ac:dyDescent="0.35"/>
    <row r="1642" s="4" customFormat="1" x14ac:dyDescent="0.35"/>
    <row r="1643" s="4" customFormat="1" x14ac:dyDescent="0.35"/>
    <row r="1644" s="4" customFormat="1" x14ac:dyDescent="0.35"/>
    <row r="1645" s="4" customFormat="1" x14ac:dyDescent="0.35"/>
    <row r="1646" s="4" customFormat="1" x14ac:dyDescent="0.35"/>
    <row r="1647" s="4" customFormat="1" x14ac:dyDescent="0.35"/>
    <row r="1648" s="4" customFormat="1" x14ac:dyDescent="0.35"/>
    <row r="1649" s="4" customFormat="1" x14ac:dyDescent="0.35"/>
    <row r="1650" s="4" customFormat="1" x14ac:dyDescent="0.35"/>
    <row r="1651" s="4" customFormat="1" x14ac:dyDescent="0.35"/>
    <row r="1652" s="4" customFormat="1" x14ac:dyDescent="0.35"/>
    <row r="1653" s="4" customFormat="1" x14ac:dyDescent="0.35"/>
    <row r="1654" s="4" customFormat="1" x14ac:dyDescent="0.35"/>
    <row r="1655" s="4" customFormat="1" x14ac:dyDescent="0.35"/>
    <row r="1656" s="4" customFormat="1" x14ac:dyDescent="0.35"/>
    <row r="1657" s="4" customFormat="1" x14ac:dyDescent="0.35"/>
    <row r="1658" s="4" customFormat="1" x14ac:dyDescent="0.35"/>
    <row r="1659" s="4" customFormat="1" x14ac:dyDescent="0.35"/>
    <row r="1660" s="4" customFormat="1" x14ac:dyDescent="0.35"/>
    <row r="1661" s="4" customFormat="1" x14ac:dyDescent="0.35"/>
    <row r="1662" s="4" customFormat="1" x14ac:dyDescent="0.35"/>
    <row r="1663" s="4" customFormat="1" x14ac:dyDescent="0.35"/>
    <row r="1664" s="4" customFormat="1" x14ac:dyDescent="0.35"/>
    <row r="1665" s="4" customFormat="1" x14ac:dyDescent="0.35"/>
    <row r="1666" s="4" customFormat="1" x14ac:dyDescent="0.35"/>
    <row r="1667" s="4" customFormat="1" x14ac:dyDescent="0.35"/>
    <row r="1668" s="4" customFormat="1" x14ac:dyDescent="0.35"/>
    <row r="1669" s="4" customFormat="1" x14ac:dyDescent="0.35"/>
    <row r="1670" s="4" customFormat="1" x14ac:dyDescent="0.35"/>
    <row r="1671" s="4" customFormat="1" x14ac:dyDescent="0.35"/>
    <row r="1672" s="4" customFormat="1" x14ac:dyDescent="0.35"/>
    <row r="1673" s="4" customFormat="1" x14ac:dyDescent="0.35"/>
    <row r="1674" s="4" customFormat="1" x14ac:dyDescent="0.35"/>
    <row r="1675" s="4" customFormat="1" x14ac:dyDescent="0.35"/>
    <row r="1676" s="4" customFormat="1" x14ac:dyDescent="0.35"/>
    <row r="1677" s="4" customFormat="1" x14ac:dyDescent="0.35"/>
    <row r="1678" s="4" customFormat="1" x14ac:dyDescent="0.35"/>
    <row r="1679" s="4" customFormat="1" x14ac:dyDescent="0.35"/>
    <row r="1680" s="4" customFormat="1" x14ac:dyDescent="0.35"/>
    <row r="1681" s="4" customFormat="1" x14ac:dyDescent="0.35"/>
    <row r="1682" s="4" customFormat="1" x14ac:dyDescent="0.35"/>
    <row r="1683" s="4" customFormat="1" x14ac:dyDescent="0.35"/>
    <row r="1684" s="4" customFormat="1" x14ac:dyDescent="0.35"/>
    <row r="1685" s="4" customFormat="1" x14ac:dyDescent="0.35"/>
    <row r="1686" s="4" customFormat="1" x14ac:dyDescent="0.35"/>
    <row r="1687" s="4" customFormat="1" x14ac:dyDescent="0.35"/>
    <row r="1688" s="4" customFormat="1" x14ac:dyDescent="0.35"/>
    <row r="1689" s="4" customFormat="1" x14ac:dyDescent="0.35"/>
    <row r="1690" s="4" customFormat="1" x14ac:dyDescent="0.35"/>
    <row r="1691" s="4" customFormat="1" x14ac:dyDescent="0.35"/>
    <row r="1692" s="4" customFormat="1" x14ac:dyDescent="0.35"/>
    <row r="1693" s="4" customFormat="1" x14ac:dyDescent="0.35"/>
    <row r="1694" s="4" customFormat="1" x14ac:dyDescent="0.35"/>
    <row r="1695" s="4" customFormat="1" x14ac:dyDescent="0.35"/>
    <row r="1696" s="4" customFormat="1" x14ac:dyDescent="0.35"/>
    <row r="1697" s="4" customFormat="1" x14ac:dyDescent="0.35"/>
    <row r="1698" s="4" customFormat="1" x14ac:dyDescent="0.35"/>
    <row r="1699" s="4" customFormat="1" x14ac:dyDescent="0.35"/>
    <row r="1700" s="4" customFormat="1" x14ac:dyDescent="0.35"/>
    <row r="1701" s="4" customFormat="1" x14ac:dyDescent="0.35"/>
    <row r="1702" s="4" customFormat="1" x14ac:dyDescent="0.35"/>
    <row r="1703" s="4" customFormat="1" x14ac:dyDescent="0.35"/>
    <row r="1704" s="4" customFormat="1" x14ac:dyDescent="0.35"/>
    <row r="1705" s="4" customFormat="1" x14ac:dyDescent="0.35"/>
    <row r="1706" s="4" customFormat="1" x14ac:dyDescent="0.35"/>
    <row r="1707" s="4" customFormat="1" x14ac:dyDescent="0.35"/>
    <row r="1708" s="4" customFormat="1" x14ac:dyDescent="0.35"/>
    <row r="1709" s="4" customFormat="1" x14ac:dyDescent="0.35"/>
    <row r="1710" s="4" customFormat="1" x14ac:dyDescent="0.35"/>
    <row r="1711" s="4" customFormat="1" x14ac:dyDescent="0.35"/>
    <row r="1712" s="4" customFormat="1" x14ac:dyDescent="0.35"/>
    <row r="1713" s="4" customFormat="1" x14ac:dyDescent="0.35"/>
    <row r="1714" s="4" customFormat="1" x14ac:dyDescent="0.35"/>
    <row r="1715" s="4" customFormat="1" x14ac:dyDescent="0.35"/>
    <row r="1716" s="4" customFormat="1" x14ac:dyDescent="0.35"/>
    <row r="1717" s="4" customFormat="1" x14ac:dyDescent="0.35"/>
    <row r="1718" s="4" customFormat="1" x14ac:dyDescent="0.35"/>
    <row r="1719" s="4" customFormat="1" x14ac:dyDescent="0.35"/>
    <row r="1720" s="4" customFormat="1" x14ac:dyDescent="0.35"/>
    <row r="1721" s="4" customFormat="1" x14ac:dyDescent="0.35"/>
    <row r="1722" s="4" customFormat="1" x14ac:dyDescent="0.35"/>
    <row r="1723" s="4" customFormat="1" x14ac:dyDescent="0.35"/>
    <row r="1724" s="4" customFormat="1" x14ac:dyDescent="0.35"/>
    <row r="1725" s="4" customFormat="1" x14ac:dyDescent="0.35"/>
    <row r="1726" s="4" customFormat="1" x14ac:dyDescent="0.35"/>
    <row r="1727" s="4" customFormat="1" x14ac:dyDescent="0.35"/>
    <row r="1728" s="4" customFormat="1" x14ac:dyDescent="0.35"/>
    <row r="1729" s="4" customFormat="1" x14ac:dyDescent="0.35"/>
    <row r="1730" s="4" customFormat="1" x14ac:dyDescent="0.35"/>
    <row r="1731" s="4" customFormat="1" x14ac:dyDescent="0.35"/>
    <row r="1732" s="4" customFormat="1" x14ac:dyDescent="0.35"/>
    <row r="1733" s="4" customFormat="1" x14ac:dyDescent="0.35"/>
    <row r="1734" s="4" customFormat="1" x14ac:dyDescent="0.35"/>
    <row r="1735" s="4" customFormat="1" x14ac:dyDescent="0.35"/>
    <row r="1736" s="4" customFormat="1" x14ac:dyDescent="0.35"/>
    <row r="1737" s="4" customFormat="1" x14ac:dyDescent="0.35"/>
    <row r="1738" s="4" customFormat="1" x14ac:dyDescent="0.35"/>
    <row r="1739" s="4" customFormat="1" x14ac:dyDescent="0.35"/>
    <row r="1740" s="4" customFormat="1" x14ac:dyDescent="0.35"/>
    <row r="1741" s="4" customFormat="1" x14ac:dyDescent="0.35"/>
    <row r="1742" s="4" customFormat="1" x14ac:dyDescent="0.35"/>
    <row r="1743" s="4" customFormat="1" x14ac:dyDescent="0.35"/>
    <row r="1744" s="4" customFormat="1" x14ac:dyDescent="0.35"/>
    <row r="1745" s="4" customFormat="1" x14ac:dyDescent="0.35"/>
    <row r="1746" s="4" customFormat="1" x14ac:dyDescent="0.35"/>
    <row r="1747" s="4" customFormat="1" x14ac:dyDescent="0.35"/>
    <row r="1748" s="4" customFormat="1" x14ac:dyDescent="0.35"/>
    <row r="1749" s="4" customFormat="1" x14ac:dyDescent="0.35"/>
    <row r="1750" s="4" customFormat="1" x14ac:dyDescent="0.35"/>
    <row r="1751" s="4" customFormat="1" x14ac:dyDescent="0.35"/>
    <row r="1752" s="4" customFormat="1" x14ac:dyDescent="0.35"/>
    <row r="1753" s="4" customFormat="1" x14ac:dyDescent="0.35"/>
    <row r="1754" s="4" customFormat="1" x14ac:dyDescent="0.35"/>
    <row r="1755" s="4" customFormat="1" x14ac:dyDescent="0.35"/>
    <row r="1756" s="4" customFormat="1" x14ac:dyDescent="0.35"/>
    <row r="1757" s="4" customFormat="1" x14ac:dyDescent="0.35"/>
    <row r="1758" s="4" customFormat="1" x14ac:dyDescent="0.35"/>
    <row r="1759" s="4" customFormat="1" x14ac:dyDescent="0.35"/>
    <row r="1760" s="4" customFormat="1" x14ac:dyDescent="0.35"/>
    <row r="1761" s="4" customFormat="1" x14ac:dyDescent="0.35"/>
    <row r="1762" s="4" customFormat="1" x14ac:dyDescent="0.35"/>
    <row r="1763" s="4" customFormat="1" x14ac:dyDescent="0.35"/>
    <row r="1764" s="4" customFormat="1" x14ac:dyDescent="0.35"/>
    <row r="1765" s="4" customFormat="1" x14ac:dyDescent="0.35"/>
    <row r="1766" s="4" customFormat="1" x14ac:dyDescent="0.35"/>
    <row r="1767" s="4" customFormat="1" x14ac:dyDescent="0.35"/>
    <row r="1768" s="4" customFormat="1" x14ac:dyDescent="0.35"/>
    <row r="1769" s="4" customFormat="1" x14ac:dyDescent="0.35"/>
    <row r="1770" s="4" customFormat="1" x14ac:dyDescent="0.35"/>
    <row r="1771" s="4" customFormat="1" x14ac:dyDescent="0.35"/>
    <row r="1772" s="4" customFormat="1" x14ac:dyDescent="0.35"/>
    <row r="1773" s="4" customFormat="1" x14ac:dyDescent="0.35"/>
    <row r="1774" s="4" customFormat="1" x14ac:dyDescent="0.35"/>
    <row r="1775" s="4" customFormat="1" x14ac:dyDescent="0.35"/>
    <row r="1776" s="4" customFormat="1" x14ac:dyDescent="0.35"/>
    <row r="1777" s="4" customFormat="1" x14ac:dyDescent="0.35"/>
    <row r="1778" s="4" customFormat="1" x14ac:dyDescent="0.35"/>
    <row r="1779" s="4" customFormat="1" x14ac:dyDescent="0.35"/>
    <row r="1780" s="4" customFormat="1" x14ac:dyDescent="0.35"/>
    <row r="1781" s="4" customFormat="1" x14ac:dyDescent="0.35"/>
    <row r="1782" s="4" customFormat="1" x14ac:dyDescent="0.35"/>
    <row r="1783" s="4" customFormat="1" x14ac:dyDescent="0.35"/>
    <row r="1784" s="4" customFormat="1" x14ac:dyDescent="0.35"/>
    <row r="1785" s="4" customFormat="1" x14ac:dyDescent="0.35"/>
    <row r="1786" s="4" customFormat="1" x14ac:dyDescent="0.35"/>
    <row r="1787" s="4" customFormat="1" x14ac:dyDescent="0.35"/>
    <row r="1788" s="4" customFormat="1" x14ac:dyDescent="0.35"/>
    <row r="1789" s="4" customFormat="1" x14ac:dyDescent="0.35"/>
    <row r="1790" s="4" customFormat="1" x14ac:dyDescent="0.35"/>
    <row r="1791" s="4" customFormat="1" x14ac:dyDescent="0.35"/>
    <row r="1792" s="4" customFormat="1" x14ac:dyDescent="0.35"/>
    <row r="1793" s="4" customFormat="1" x14ac:dyDescent="0.35"/>
    <row r="1794" s="4" customFormat="1" x14ac:dyDescent="0.35"/>
    <row r="1795" s="4" customFormat="1" x14ac:dyDescent="0.35"/>
    <row r="1796" s="4" customFormat="1" x14ac:dyDescent="0.35"/>
    <row r="1797" s="4" customFormat="1" x14ac:dyDescent="0.35"/>
    <row r="1798" s="4" customFormat="1" x14ac:dyDescent="0.35"/>
    <row r="1799" s="4" customFormat="1" x14ac:dyDescent="0.35"/>
    <row r="1800" s="4" customFormat="1" x14ac:dyDescent="0.35"/>
    <row r="1801" s="4" customFormat="1" x14ac:dyDescent="0.35"/>
    <row r="1802" s="4" customFormat="1" x14ac:dyDescent="0.35"/>
    <row r="1803" s="4" customFormat="1" x14ac:dyDescent="0.35"/>
    <row r="1804" s="4" customFormat="1" x14ac:dyDescent="0.35"/>
    <row r="1805" s="4" customFormat="1" x14ac:dyDescent="0.35"/>
    <row r="1806" s="4" customFormat="1" x14ac:dyDescent="0.35"/>
    <row r="1807" s="4" customFormat="1" x14ac:dyDescent="0.35"/>
    <row r="1808" s="4" customFormat="1" x14ac:dyDescent="0.35"/>
    <row r="1809" s="4" customFormat="1" x14ac:dyDescent="0.35"/>
    <row r="1810" s="4" customFormat="1" x14ac:dyDescent="0.35"/>
    <row r="1811" s="4" customFormat="1" x14ac:dyDescent="0.35"/>
    <row r="1812" s="4" customFormat="1" x14ac:dyDescent="0.35"/>
    <row r="1813" s="4" customFormat="1" x14ac:dyDescent="0.35"/>
    <row r="1814" s="4" customFormat="1" x14ac:dyDescent="0.35"/>
    <row r="1815" s="4" customFormat="1" x14ac:dyDescent="0.35"/>
    <row r="1816" s="4" customFormat="1" x14ac:dyDescent="0.35"/>
    <row r="1817" s="4" customFormat="1" x14ac:dyDescent="0.35"/>
    <row r="1818" s="4" customFormat="1" x14ac:dyDescent="0.35"/>
    <row r="1819" s="4" customFormat="1" x14ac:dyDescent="0.35"/>
    <row r="1820" s="4" customFormat="1" x14ac:dyDescent="0.35"/>
    <row r="1821" s="4" customFormat="1" x14ac:dyDescent="0.35"/>
    <row r="1822" s="4" customFormat="1" x14ac:dyDescent="0.35"/>
    <row r="1823" s="4" customFormat="1" x14ac:dyDescent="0.35"/>
    <row r="1824" s="4" customFormat="1" x14ac:dyDescent="0.35"/>
    <row r="1825" s="4" customFormat="1" x14ac:dyDescent="0.35"/>
    <row r="1826" s="4" customFormat="1" x14ac:dyDescent="0.35"/>
    <row r="1827" s="4" customFormat="1" x14ac:dyDescent="0.35"/>
    <row r="1828" s="4" customFormat="1" x14ac:dyDescent="0.35"/>
    <row r="1829" s="4" customFormat="1" x14ac:dyDescent="0.35"/>
    <row r="1830" s="4" customFormat="1" x14ac:dyDescent="0.35"/>
    <row r="1831" s="4" customFormat="1" x14ac:dyDescent="0.35"/>
    <row r="1832" s="4" customFormat="1" x14ac:dyDescent="0.35"/>
    <row r="1833" s="4" customFormat="1" x14ac:dyDescent="0.35"/>
    <row r="1834" s="4" customFormat="1" x14ac:dyDescent="0.35"/>
    <row r="1835" s="4" customFormat="1" x14ac:dyDescent="0.35"/>
    <row r="1836" s="4" customFormat="1" x14ac:dyDescent="0.35"/>
    <row r="1837" s="4" customFormat="1" x14ac:dyDescent="0.35"/>
    <row r="1838" s="4" customFormat="1" x14ac:dyDescent="0.35"/>
    <row r="1839" s="4" customFormat="1" x14ac:dyDescent="0.35"/>
    <row r="1840" s="4" customFormat="1" x14ac:dyDescent="0.35"/>
    <row r="1841" s="4" customFormat="1" x14ac:dyDescent="0.35"/>
    <row r="1842" s="4" customFormat="1" x14ac:dyDescent="0.35"/>
    <row r="1843" s="4" customFormat="1" x14ac:dyDescent="0.35"/>
    <row r="1844" s="4" customFormat="1" x14ac:dyDescent="0.35"/>
    <row r="1845" s="4" customFormat="1" x14ac:dyDescent="0.35"/>
    <row r="1846" s="4" customFormat="1" x14ac:dyDescent="0.35"/>
    <row r="1847" s="4" customFormat="1" x14ac:dyDescent="0.35"/>
    <row r="1848" s="4" customFormat="1" x14ac:dyDescent="0.35"/>
    <row r="1849" s="4" customFormat="1" x14ac:dyDescent="0.35"/>
    <row r="1850" s="4" customFormat="1" x14ac:dyDescent="0.35"/>
    <row r="1851" s="4" customFormat="1" x14ac:dyDescent="0.35"/>
    <row r="1852" s="4" customFormat="1" x14ac:dyDescent="0.35"/>
    <row r="1853" s="4" customFormat="1" x14ac:dyDescent="0.35"/>
    <row r="1854" s="4" customFormat="1" x14ac:dyDescent="0.35"/>
    <row r="1855" s="4" customFormat="1" x14ac:dyDescent="0.35"/>
    <row r="1856" s="4" customFormat="1" x14ac:dyDescent="0.35"/>
    <row r="1857" s="4" customFormat="1" x14ac:dyDescent="0.35"/>
    <row r="1858" s="4" customFormat="1" x14ac:dyDescent="0.35"/>
    <row r="1859" s="4" customFormat="1" x14ac:dyDescent="0.35"/>
    <row r="1860" s="4" customFormat="1" x14ac:dyDescent="0.35"/>
    <row r="1861" s="4" customFormat="1" x14ac:dyDescent="0.35"/>
    <row r="1862" s="4" customFormat="1" x14ac:dyDescent="0.35"/>
    <row r="1863" s="4" customFormat="1" x14ac:dyDescent="0.35"/>
    <row r="1864" s="4" customFormat="1" x14ac:dyDescent="0.35"/>
    <row r="1865" s="4" customFormat="1" x14ac:dyDescent="0.35"/>
    <row r="1866" s="4" customFormat="1" x14ac:dyDescent="0.35"/>
    <row r="1867" s="4" customFormat="1" x14ac:dyDescent="0.35"/>
    <row r="1868" s="4" customFormat="1" x14ac:dyDescent="0.35"/>
    <row r="1869" s="4" customFormat="1" x14ac:dyDescent="0.35"/>
    <row r="1870" s="4" customFormat="1" x14ac:dyDescent="0.35"/>
    <row r="1871" s="4" customFormat="1" x14ac:dyDescent="0.35"/>
    <row r="1872" s="4" customFormat="1" x14ac:dyDescent="0.35"/>
    <row r="1873" s="4" customFormat="1" x14ac:dyDescent="0.35"/>
    <row r="1874" s="4" customFormat="1" x14ac:dyDescent="0.35"/>
    <row r="1875" s="4" customFormat="1" x14ac:dyDescent="0.35"/>
    <row r="1876" s="4" customFormat="1" x14ac:dyDescent="0.35"/>
    <row r="1877" s="4" customFormat="1" x14ac:dyDescent="0.35"/>
    <row r="1878" s="4" customFormat="1" x14ac:dyDescent="0.35"/>
    <row r="1879" s="4" customFormat="1" x14ac:dyDescent="0.35"/>
    <row r="1880" s="4" customFormat="1" x14ac:dyDescent="0.35"/>
    <row r="1881" s="4" customFormat="1" x14ac:dyDescent="0.35"/>
    <row r="1882" s="4" customFormat="1" x14ac:dyDescent="0.35"/>
    <row r="1883" s="4" customFormat="1" x14ac:dyDescent="0.35"/>
    <row r="1884" s="4" customFormat="1" x14ac:dyDescent="0.35"/>
    <row r="1885" s="4" customFormat="1" x14ac:dyDescent="0.35"/>
    <row r="1886" s="4" customFormat="1" x14ac:dyDescent="0.35"/>
    <row r="1887" s="4" customFormat="1" x14ac:dyDescent="0.35"/>
    <row r="1888" s="4" customFormat="1" x14ac:dyDescent="0.35"/>
    <row r="1889" s="4" customFormat="1" x14ac:dyDescent="0.35"/>
    <row r="1890" s="4" customFormat="1" x14ac:dyDescent="0.35"/>
    <row r="1891" s="4" customFormat="1" x14ac:dyDescent="0.35"/>
    <row r="1892" s="4" customFormat="1" x14ac:dyDescent="0.35"/>
    <row r="1893" s="4" customFormat="1" x14ac:dyDescent="0.35"/>
    <row r="1894" s="4" customFormat="1" x14ac:dyDescent="0.35"/>
    <row r="1895" s="4" customFormat="1" x14ac:dyDescent="0.35"/>
    <row r="1896" s="4" customFormat="1" x14ac:dyDescent="0.35"/>
    <row r="1897" s="4" customFormat="1" x14ac:dyDescent="0.35"/>
    <row r="1898" s="4" customFormat="1" x14ac:dyDescent="0.35"/>
    <row r="1899" s="4" customFormat="1" x14ac:dyDescent="0.35"/>
    <row r="1900" s="4" customFormat="1" x14ac:dyDescent="0.35"/>
    <row r="1901" s="4" customFormat="1" x14ac:dyDescent="0.35"/>
    <row r="1902" s="4" customFormat="1" x14ac:dyDescent="0.35"/>
    <row r="1903" s="4" customFormat="1" x14ac:dyDescent="0.35"/>
    <row r="1904" s="4" customFormat="1" x14ac:dyDescent="0.35"/>
    <row r="1905" s="4" customFormat="1" x14ac:dyDescent="0.35"/>
    <row r="1906" s="4" customFormat="1" x14ac:dyDescent="0.35"/>
    <row r="1907" s="4" customFormat="1" x14ac:dyDescent="0.35"/>
    <row r="1908" s="4" customFormat="1" x14ac:dyDescent="0.35"/>
    <row r="1909" s="4" customFormat="1" x14ac:dyDescent="0.35"/>
    <row r="1910" s="4" customFormat="1" x14ac:dyDescent="0.35"/>
    <row r="1911" s="4" customFormat="1" x14ac:dyDescent="0.35"/>
    <row r="1912" s="4" customFormat="1" x14ac:dyDescent="0.35"/>
    <row r="1913" s="4" customFormat="1" x14ac:dyDescent="0.35"/>
    <row r="1914" s="4" customFormat="1" x14ac:dyDescent="0.35"/>
    <row r="1915" s="4" customFormat="1" x14ac:dyDescent="0.35"/>
    <row r="1916" s="4" customFormat="1" x14ac:dyDescent="0.35"/>
    <row r="1917" s="4" customFormat="1" x14ac:dyDescent="0.35"/>
    <row r="1918" s="4" customFormat="1" x14ac:dyDescent="0.35"/>
    <row r="1919" s="4" customFormat="1" x14ac:dyDescent="0.35"/>
    <row r="1920" s="4" customFormat="1" x14ac:dyDescent="0.35"/>
    <row r="1921" s="4" customFormat="1" x14ac:dyDescent="0.35"/>
    <row r="1922" s="4" customFormat="1" x14ac:dyDescent="0.35"/>
    <row r="1923" s="4" customFormat="1" x14ac:dyDescent="0.35"/>
    <row r="1924" s="4" customFormat="1" x14ac:dyDescent="0.35"/>
    <row r="1925" s="4" customFormat="1" x14ac:dyDescent="0.35"/>
    <row r="1926" s="4" customFormat="1" x14ac:dyDescent="0.35"/>
    <row r="1927" s="4" customFormat="1" x14ac:dyDescent="0.35"/>
    <row r="1928" s="4" customFormat="1" x14ac:dyDescent="0.35"/>
    <row r="1929" s="4" customFormat="1" x14ac:dyDescent="0.35"/>
    <row r="1930" s="4" customFormat="1" x14ac:dyDescent="0.35"/>
    <row r="1931" s="4" customFormat="1" x14ac:dyDescent="0.35"/>
    <row r="1932" s="4" customFormat="1" x14ac:dyDescent="0.35"/>
    <row r="1933" s="4" customFormat="1" x14ac:dyDescent="0.35"/>
    <row r="1934" s="4" customFormat="1" x14ac:dyDescent="0.35"/>
    <row r="1935" s="4" customFormat="1" x14ac:dyDescent="0.35"/>
    <row r="1936" s="4" customFormat="1" x14ac:dyDescent="0.35"/>
    <row r="1937" s="4" customFormat="1" x14ac:dyDescent="0.35"/>
    <row r="1938" s="4" customFormat="1" x14ac:dyDescent="0.35"/>
    <row r="1939" s="4" customFormat="1" x14ac:dyDescent="0.35"/>
    <row r="1940" s="4" customFormat="1" x14ac:dyDescent="0.35"/>
    <row r="1941" s="4" customFormat="1" x14ac:dyDescent="0.35"/>
    <row r="1942" s="4" customFormat="1" x14ac:dyDescent="0.35"/>
    <row r="1943" s="4" customFormat="1" x14ac:dyDescent="0.35"/>
    <row r="1944" s="4" customFormat="1" x14ac:dyDescent="0.35"/>
    <row r="1945" s="4" customFormat="1" x14ac:dyDescent="0.35"/>
    <row r="1946" s="4" customFormat="1" x14ac:dyDescent="0.35"/>
    <row r="1947" s="4" customFormat="1" x14ac:dyDescent="0.35"/>
    <row r="1948" s="4" customFormat="1" x14ac:dyDescent="0.35"/>
    <row r="1949" s="4" customFormat="1" x14ac:dyDescent="0.35"/>
    <row r="1950" s="4" customFormat="1" x14ac:dyDescent="0.35"/>
    <row r="1951" s="4" customFormat="1" x14ac:dyDescent="0.35"/>
    <row r="1952" s="4" customFormat="1" x14ac:dyDescent="0.35"/>
    <row r="1953" s="4" customFormat="1" x14ac:dyDescent="0.35"/>
    <row r="1954" s="4" customFormat="1" x14ac:dyDescent="0.35"/>
    <row r="1955" s="4" customFormat="1" x14ac:dyDescent="0.35"/>
    <row r="1956" s="4" customFormat="1" x14ac:dyDescent="0.35"/>
    <row r="1957" s="4" customFormat="1" x14ac:dyDescent="0.35"/>
    <row r="1958" s="4" customFormat="1" x14ac:dyDescent="0.35"/>
    <row r="1959" s="4" customFormat="1" x14ac:dyDescent="0.35"/>
    <row r="1960" s="4" customFormat="1" x14ac:dyDescent="0.35"/>
    <row r="1961" s="4" customFormat="1" x14ac:dyDescent="0.35"/>
    <row r="1962" s="4" customFormat="1" x14ac:dyDescent="0.35"/>
    <row r="1963" s="4" customFormat="1" x14ac:dyDescent="0.35"/>
    <row r="1964" s="4" customFormat="1" x14ac:dyDescent="0.35"/>
    <row r="1965" s="4" customFormat="1" x14ac:dyDescent="0.35"/>
    <row r="1966" s="4" customFormat="1" x14ac:dyDescent="0.35"/>
    <row r="1967" s="4" customFormat="1" x14ac:dyDescent="0.35"/>
    <row r="1968" s="4" customFormat="1" x14ac:dyDescent="0.35"/>
    <row r="1969" s="4" customFormat="1" x14ac:dyDescent="0.35"/>
    <row r="1970" s="4" customFormat="1" x14ac:dyDescent="0.35"/>
    <row r="1971" s="4" customFormat="1" x14ac:dyDescent="0.35"/>
    <row r="1972" s="4" customFormat="1" x14ac:dyDescent="0.35"/>
    <row r="1973" s="4" customFormat="1" x14ac:dyDescent="0.35"/>
    <row r="1974" s="4" customFormat="1" x14ac:dyDescent="0.35"/>
    <row r="1975" s="4" customFormat="1" x14ac:dyDescent="0.35"/>
    <row r="1976" s="4" customFormat="1" x14ac:dyDescent="0.35"/>
    <row r="1977" s="4" customFormat="1" x14ac:dyDescent="0.35"/>
    <row r="1978" s="4" customFormat="1" x14ac:dyDescent="0.35"/>
    <row r="1979" s="4" customFormat="1" x14ac:dyDescent="0.35"/>
    <row r="1980" s="4" customFormat="1" x14ac:dyDescent="0.35"/>
    <row r="1981" s="4" customFormat="1" x14ac:dyDescent="0.35"/>
    <row r="1982" s="4" customFormat="1" x14ac:dyDescent="0.35"/>
    <row r="1983" s="4" customFormat="1" x14ac:dyDescent="0.35"/>
    <row r="1984" s="4" customFormat="1" x14ac:dyDescent="0.35"/>
    <row r="1985" s="4" customFormat="1" x14ac:dyDescent="0.35"/>
    <row r="1986" s="4" customFormat="1" x14ac:dyDescent="0.35"/>
    <row r="1987" s="4" customFormat="1" x14ac:dyDescent="0.35"/>
    <row r="1988" s="4" customFormat="1" x14ac:dyDescent="0.35"/>
    <row r="1989" s="4" customFormat="1" x14ac:dyDescent="0.35"/>
    <row r="1990" s="4" customFormat="1" x14ac:dyDescent="0.35"/>
    <row r="1991" s="4" customFormat="1" x14ac:dyDescent="0.35"/>
    <row r="1992" s="4" customFormat="1" x14ac:dyDescent="0.35"/>
    <row r="1993" s="4" customFormat="1" x14ac:dyDescent="0.35"/>
    <row r="1994" s="4" customFormat="1" x14ac:dyDescent="0.35"/>
    <row r="1995" s="4" customFormat="1" x14ac:dyDescent="0.35"/>
    <row r="1996" s="4" customFormat="1" x14ac:dyDescent="0.35"/>
    <row r="1997" s="4" customFormat="1" x14ac:dyDescent="0.35"/>
    <row r="1998" s="4" customFormat="1" x14ac:dyDescent="0.35"/>
    <row r="1999" s="4" customFormat="1" x14ac:dyDescent="0.35"/>
    <row r="2000" s="4" customFormat="1" x14ac:dyDescent="0.35"/>
    <row r="2001" s="4" customFormat="1" x14ac:dyDescent="0.35"/>
    <row r="2002" s="4" customFormat="1" x14ac:dyDescent="0.35"/>
    <row r="2003" s="4" customFormat="1" x14ac:dyDescent="0.35"/>
    <row r="2004" s="4" customFormat="1" x14ac:dyDescent="0.35"/>
    <row r="2005" s="4" customFormat="1" x14ac:dyDescent="0.35"/>
    <row r="2006" s="4" customFormat="1" x14ac:dyDescent="0.35"/>
    <row r="2007" s="4" customFormat="1" x14ac:dyDescent="0.35"/>
    <row r="2008" s="4" customFormat="1" x14ac:dyDescent="0.35"/>
    <row r="2009" s="4" customFormat="1" x14ac:dyDescent="0.35"/>
    <row r="2010" s="4" customFormat="1" x14ac:dyDescent="0.35"/>
    <row r="2011" s="4" customFormat="1" x14ac:dyDescent="0.35"/>
    <row r="2012" s="4" customFormat="1" x14ac:dyDescent="0.35"/>
    <row r="2013" s="4" customFormat="1" x14ac:dyDescent="0.35"/>
    <row r="2014" s="4" customFormat="1" x14ac:dyDescent="0.35"/>
    <row r="2015" s="4" customFormat="1" x14ac:dyDescent="0.35"/>
    <row r="2016" s="4" customFormat="1" x14ac:dyDescent="0.35"/>
    <row r="2017" s="4" customFormat="1" x14ac:dyDescent="0.35"/>
    <row r="2018" s="4" customFormat="1" x14ac:dyDescent="0.35"/>
    <row r="2019" s="4" customFormat="1" x14ac:dyDescent="0.35"/>
    <row r="2020" s="4" customFormat="1" x14ac:dyDescent="0.35"/>
    <row r="2021" s="4" customFormat="1" x14ac:dyDescent="0.35"/>
    <row r="2022" s="4" customFormat="1" x14ac:dyDescent="0.35"/>
    <row r="2023" s="4" customFormat="1" x14ac:dyDescent="0.35"/>
    <row r="2024" s="4" customFormat="1" x14ac:dyDescent="0.35"/>
    <row r="2025" s="4" customFormat="1" x14ac:dyDescent="0.35"/>
    <row r="2026" s="4" customFormat="1" x14ac:dyDescent="0.35"/>
    <row r="2027" s="4" customFormat="1" x14ac:dyDescent="0.35"/>
    <row r="2028" s="4" customFormat="1" x14ac:dyDescent="0.35"/>
    <row r="2029" s="4" customFormat="1" x14ac:dyDescent="0.35"/>
    <row r="2030" s="4" customFormat="1" x14ac:dyDescent="0.35"/>
    <row r="2031" s="4" customFormat="1" x14ac:dyDescent="0.35"/>
    <row r="2032" s="4" customFormat="1" x14ac:dyDescent="0.35"/>
    <row r="2033" s="4" customFormat="1" x14ac:dyDescent="0.35"/>
    <row r="2034" s="4" customFormat="1" x14ac:dyDescent="0.35"/>
    <row r="2035" s="4" customFormat="1" x14ac:dyDescent="0.35"/>
    <row r="2036" s="4" customFormat="1" x14ac:dyDescent="0.35"/>
    <row r="2037" s="4" customFormat="1" x14ac:dyDescent="0.35"/>
    <row r="2038" s="4" customFormat="1" x14ac:dyDescent="0.35"/>
    <row r="2039" s="4" customFormat="1" x14ac:dyDescent="0.35"/>
    <row r="2040" s="4" customFormat="1" x14ac:dyDescent="0.35"/>
    <row r="2041" s="4" customFormat="1" x14ac:dyDescent="0.35"/>
    <row r="2042" s="4" customFormat="1" x14ac:dyDescent="0.35"/>
    <row r="2043" s="4" customFormat="1" x14ac:dyDescent="0.35"/>
    <row r="2044" s="4" customFormat="1" x14ac:dyDescent="0.35"/>
    <row r="2045" s="4" customFormat="1" x14ac:dyDescent="0.35"/>
    <row r="2046" s="4" customFormat="1" x14ac:dyDescent="0.35"/>
    <row r="2047" s="4" customFormat="1" x14ac:dyDescent="0.35"/>
    <row r="2048" s="4" customFormat="1" x14ac:dyDescent="0.35"/>
    <row r="2049" s="4" customFormat="1" x14ac:dyDescent="0.35"/>
    <row r="2050" s="4" customFormat="1" x14ac:dyDescent="0.35"/>
    <row r="2051" s="4" customFormat="1" x14ac:dyDescent="0.35"/>
    <row r="2052" s="4" customFormat="1" x14ac:dyDescent="0.35"/>
    <row r="2053" s="4" customFormat="1" x14ac:dyDescent="0.35"/>
    <row r="2054" s="4" customFormat="1" x14ac:dyDescent="0.35"/>
    <row r="2055" s="4" customFormat="1" x14ac:dyDescent="0.35"/>
    <row r="2056" s="4" customFormat="1" x14ac:dyDescent="0.35"/>
    <row r="2057" s="4" customFormat="1" x14ac:dyDescent="0.35"/>
    <row r="2058" s="4" customFormat="1" x14ac:dyDescent="0.35"/>
    <row r="2059" s="4" customFormat="1" x14ac:dyDescent="0.35"/>
    <row r="2060" s="4" customFormat="1" x14ac:dyDescent="0.35"/>
    <row r="2061" s="4" customFormat="1" x14ac:dyDescent="0.35"/>
    <row r="2062" s="4" customFormat="1" x14ac:dyDescent="0.35"/>
    <row r="2063" s="4" customFormat="1" x14ac:dyDescent="0.35"/>
    <row r="2064" s="4" customFormat="1" x14ac:dyDescent="0.35"/>
    <row r="2065" s="4" customFormat="1" x14ac:dyDescent="0.35"/>
    <row r="2066" s="4" customFormat="1" x14ac:dyDescent="0.35"/>
    <row r="2067" s="4" customFormat="1" x14ac:dyDescent="0.35"/>
    <row r="2068" s="4" customFormat="1" x14ac:dyDescent="0.35"/>
    <row r="2069" s="4" customFormat="1" x14ac:dyDescent="0.35"/>
    <row r="2070" s="4" customFormat="1" x14ac:dyDescent="0.35"/>
    <row r="2071" s="4" customFormat="1" x14ac:dyDescent="0.35"/>
    <row r="2072" s="4" customFormat="1" x14ac:dyDescent="0.35"/>
    <row r="2073" s="4" customFormat="1" x14ac:dyDescent="0.35"/>
    <row r="2074" s="4" customFormat="1" x14ac:dyDescent="0.35"/>
    <row r="2075" s="4" customFormat="1" x14ac:dyDescent="0.35"/>
    <row r="2076" s="4" customFormat="1" x14ac:dyDescent="0.35"/>
    <row r="2077" s="4" customFormat="1" x14ac:dyDescent="0.35"/>
    <row r="2078" s="4" customFormat="1" x14ac:dyDescent="0.35"/>
    <row r="2079" s="4" customFormat="1" x14ac:dyDescent="0.35"/>
    <row r="2080" s="4" customFormat="1" x14ac:dyDescent="0.35"/>
    <row r="2081" s="4" customFormat="1" x14ac:dyDescent="0.35"/>
    <row r="2082" s="4" customFormat="1" x14ac:dyDescent="0.35"/>
    <row r="2083" s="4" customFormat="1" x14ac:dyDescent="0.35"/>
    <row r="2084" s="4" customFormat="1" x14ac:dyDescent="0.35"/>
    <row r="2085" s="4" customFormat="1" x14ac:dyDescent="0.35"/>
    <row r="2086" s="4" customFormat="1" x14ac:dyDescent="0.35"/>
    <row r="2087" s="4" customFormat="1" x14ac:dyDescent="0.35"/>
    <row r="2088" s="4" customFormat="1" x14ac:dyDescent="0.35"/>
    <row r="2089" s="4" customFormat="1" x14ac:dyDescent="0.35"/>
    <row r="2090" s="4" customFormat="1" x14ac:dyDescent="0.35"/>
    <row r="2091" s="4" customFormat="1" x14ac:dyDescent="0.35"/>
    <row r="2092" s="4" customFormat="1" x14ac:dyDescent="0.35"/>
    <row r="2093" s="4" customFormat="1" x14ac:dyDescent="0.35"/>
    <row r="2094" s="4" customFormat="1" x14ac:dyDescent="0.35"/>
    <row r="2095" s="4" customFormat="1" x14ac:dyDescent="0.35"/>
    <row r="2096" s="4" customFormat="1" x14ac:dyDescent="0.35"/>
    <row r="2097" s="4" customFormat="1" x14ac:dyDescent="0.35"/>
    <row r="2098" s="4" customFormat="1" x14ac:dyDescent="0.35"/>
    <row r="2099" s="4" customFormat="1" x14ac:dyDescent="0.35"/>
    <row r="2100" s="4" customFormat="1" x14ac:dyDescent="0.35"/>
    <row r="2101" s="4" customFormat="1" x14ac:dyDescent="0.35"/>
    <row r="2102" s="4" customFormat="1" x14ac:dyDescent="0.35"/>
    <row r="2103" s="4" customFormat="1" x14ac:dyDescent="0.35"/>
    <row r="2104" s="4" customFormat="1" x14ac:dyDescent="0.35"/>
    <row r="2105" s="4" customFormat="1" x14ac:dyDescent="0.35"/>
    <row r="2106" s="4" customFormat="1" x14ac:dyDescent="0.35"/>
    <row r="2107" s="4" customFormat="1" x14ac:dyDescent="0.35"/>
    <row r="2108" s="4" customFormat="1" x14ac:dyDescent="0.35"/>
    <row r="2109" s="4" customFormat="1" x14ac:dyDescent="0.35"/>
    <row r="2110" s="4" customFormat="1" x14ac:dyDescent="0.35"/>
    <row r="2111" s="4" customFormat="1" x14ac:dyDescent="0.35"/>
    <row r="2112" s="4" customFormat="1" x14ac:dyDescent="0.35"/>
    <row r="2113" s="4" customFormat="1" x14ac:dyDescent="0.35"/>
    <row r="2114" s="4" customFormat="1" x14ac:dyDescent="0.35"/>
    <row r="2115" s="4" customFormat="1" x14ac:dyDescent="0.35"/>
    <row r="2116" s="4" customFormat="1" x14ac:dyDescent="0.35"/>
    <row r="2117" s="4" customFormat="1" x14ac:dyDescent="0.35"/>
    <row r="2118" s="4" customFormat="1" x14ac:dyDescent="0.35"/>
    <row r="2119" s="4" customFormat="1" x14ac:dyDescent="0.35"/>
    <row r="2120" s="4" customFormat="1" x14ac:dyDescent="0.35"/>
    <row r="2121" s="4" customFormat="1" x14ac:dyDescent="0.35"/>
    <row r="2122" s="4" customFormat="1" x14ac:dyDescent="0.35"/>
    <row r="2123" s="4" customFormat="1" x14ac:dyDescent="0.35"/>
    <row r="2124" s="4" customFormat="1" x14ac:dyDescent="0.35"/>
    <row r="2125" s="4" customFormat="1" x14ac:dyDescent="0.35"/>
    <row r="2126" s="4" customFormat="1" x14ac:dyDescent="0.35"/>
    <row r="2127" s="4" customFormat="1" x14ac:dyDescent="0.35"/>
    <row r="2128" s="4" customFormat="1" x14ac:dyDescent="0.35"/>
    <row r="2129" s="4" customFormat="1" x14ac:dyDescent="0.35"/>
    <row r="2130" s="4" customFormat="1" x14ac:dyDescent="0.35"/>
    <row r="2131" s="4" customFormat="1" x14ac:dyDescent="0.35"/>
    <row r="2132" s="4" customFormat="1" x14ac:dyDescent="0.35"/>
    <row r="2133" s="4" customFormat="1" x14ac:dyDescent="0.35"/>
    <row r="2134" s="4" customFormat="1" x14ac:dyDescent="0.35"/>
    <row r="2135" s="4" customFormat="1" x14ac:dyDescent="0.35"/>
    <row r="2136" s="4" customFormat="1" x14ac:dyDescent="0.35"/>
    <row r="2137" s="4" customFormat="1" x14ac:dyDescent="0.35"/>
    <row r="2138" s="4" customFormat="1" x14ac:dyDescent="0.35"/>
    <row r="2139" s="4" customFormat="1" x14ac:dyDescent="0.35"/>
    <row r="2140" s="4" customFormat="1" x14ac:dyDescent="0.35"/>
    <row r="2141" s="4" customFormat="1" x14ac:dyDescent="0.35"/>
    <row r="2142" s="4" customFormat="1" x14ac:dyDescent="0.35"/>
    <row r="2143" s="4" customFormat="1" x14ac:dyDescent="0.35"/>
    <row r="2144" s="4" customFormat="1" x14ac:dyDescent="0.35"/>
    <row r="2145" s="4" customFormat="1" x14ac:dyDescent="0.35"/>
    <row r="2146" s="4" customFormat="1" x14ac:dyDescent="0.35"/>
    <row r="2147" s="4" customFormat="1" x14ac:dyDescent="0.35"/>
    <row r="2148" s="4" customFormat="1" x14ac:dyDescent="0.35"/>
    <row r="2149" s="4" customFormat="1" x14ac:dyDescent="0.35"/>
    <row r="2150" s="4" customFormat="1" x14ac:dyDescent="0.35"/>
    <row r="2151" s="4" customFormat="1" x14ac:dyDescent="0.35"/>
    <row r="2152" s="4" customFormat="1" x14ac:dyDescent="0.35"/>
    <row r="2153" s="4" customFormat="1" x14ac:dyDescent="0.35"/>
    <row r="2154" s="4" customFormat="1" x14ac:dyDescent="0.35"/>
    <row r="2155" s="4" customFormat="1" x14ac:dyDescent="0.35"/>
    <row r="2156" s="4" customFormat="1" x14ac:dyDescent="0.35"/>
    <row r="2157" s="4" customFormat="1" x14ac:dyDescent="0.35"/>
    <row r="2158" s="4" customFormat="1" x14ac:dyDescent="0.35"/>
    <row r="2159" s="4" customFormat="1" x14ac:dyDescent="0.35"/>
    <row r="2160" s="4" customFormat="1" x14ac:dyDescent="0.35"/>
    <row r="2161" s="4" customFormat="1" x14ac:dyDescent="0.35"/>
    <row r="2162" s="4" customFormat="1" x14ac:dyDescent="0.35"/>
    <row r="2163" s="4" customFormat="1" x14ac:dyDescent="0.35"/>
    <row r="2164" s="4" customFormat="1" x14ac:dyDescent="0.35"/>
    <row r="2165" s="4" customFormat="1" x14ac:dyDescent="0.35"/>
    <row r="2166" s="4" customFormat="1" x14ac:dyDescent="0.35"/>
    <row r="2167" s="4" customFormat="1" x14ac:dyDescent="0.35"/>
    <row r="2168" s="4" customFormat="1" x14ac:dyDescent="0.35"/>
    <row r="2169" s="4" customFormat="1" x14ac:dyDescent="0.35"/>
    <row r="2170" s="4" customFormat="1" x14ac:dyDescent="0.35"/>
    <row r="2171" s="4" customFormat="1" x14ac:dyDescent="0.35"/>
    <row r="2172" s="4" customFormat="1" x14ac:dyDescent="0.35"/>
    <row r="2173" s="4" customFormat="1" x14ac:dyDescent="0.35"/>
    <row r="2174" s="4" customFormat="1" x14ac:dyDescent="0.35"/>
    <row r="2175" s="4" customFormat="1" x14ac:dyDescent="0.35"/>
    <row r="2176" s="4" customFormat="1" x14ac:dyDescent="0.35"/>
    <row r="2177" s="4" customFormat="1" x14ac:dyDescent="0.35"/>
    <row r="2178" s="4" customFormat="1" x14ac:dyDescent="0.35"/>
    <row r="2179" s="4" customFormat="1" x14ac:dyDescent="0.35"/>
    <row r="2180" s="4" customFormat="1" x14ac:dyDescent="0.35"/>
    <row r="2181" s="4" customFormat="1" x14ac:dyDescent="0.35"/>
    <row r="2182" s="4" customFormat="1" x14ac:dyDescent="0.35"/>
    <row r="2183" s="4" customFormat="1" x14ac:dyDescent="0.35"/>
    <row r="2184" s="4" customFormat="1" x14ac:dyDescent="0.35"/>
    <row r="2185" s="4" customFormat="1" x14ac:dyDescent="0.35"/>
    <row r="2186" s="4" customFormat="1" x14ac:dyDescent="0.35"/>
    <row r="2187" s="4" customFormat="1" x14ac:dyDescent="0.35"/>
    <row r="2188" s="4" customFormat="1" x14ac:dyDescent="0.35"/>
    <row r="2189" s="4" customFormat="1" x14ac:dyDescent="0.35"/>
    <row r="2190" s="4" customFormat="1" x14ac:dyDescent="0.35"/>
    <row r="2191" s="4" customFormat="1" x14ac:dyDescent="0.35"/>
    <row r="2192" s="4" customFormat="1" x14ac:dyDescent="0.35"/>
    <row r="2193" s="4" customFormat="1" x14ac:dyDescent="0.35"/>
    <row r="2194" s="4" customFormat="1" x14ac:dyDescent="0.35"/>
    <row r="2195" s="4" customFormat="1" x14ac:dyDescent="0.35"/>
    <row r="2196" s="4" customFormat="1" x14ac:dyDescent="0.35"/>
    <row r="2197" s="4" customFormat="1" x14ac:dyDescent="0.35"/>
    <row r="2198" s="4" customFormat="1" x14ac:dyDescent="0.35"/>
    <row r="2199" s="4" customFormat="1" x14ac:dyDescent="0.35"/>
    <row r="2200" s="4" customFormat="1" x14ac:dyDescent="0.35"/>
    <row r="2201" s="4" customFormat="1" x14ac:dyDescent="0.35"/>
    <row r="2202" s="4" customFormat="1" x14ac:dyDescent="0.35"/>
    <row r="2203" s="4" customFormat="1" x14ac:dyDescent="0.35"/>
    <row r="2204" s="4" customFormat="1" x14ac:dyDescent="0.35"/>
    <row r="2205" s="4" customFormat="1" x14ac:dyDescent="0.35"/>
    <row r="2206" s="4" customFormat="1" x14ac:dyDescent="0.35"/>
    <row r="2207" s="4" customFormat="1" x14ac:dyDescent="0.35"/>
    <row r="2208" s="4" customFormat="1" x14ac:dyDescent="0.35"/>
    <row r="2209" s="4" customFormat="1" x14ac:dyDescent="0.35"/>
    <row r="2210" s="4" customFormat="1" x14ac:dyDescent="0.35"/>
    <row r="2211" s="4" customFormat="1" x14ac:dyDescent="0.35"/>
    <row r="2212" s="4" customFormat="1" x14ac:dyDescent="0.35"/>
    <row r="2213" s="4" customFormat="1" x14ac:dyDescent="0.35"/>
    <row r="2214" s="4" customFormat="1" x14ac:dyDescent="0.35"/>
    <row r="2215" s="4" customFormat="1" x14ac:dyDescent="0.35"/>
    <row r="2216" s="4" customFormat="1" x14ac:dyDescent="0.35"/>
    <row r="2217" s="4" customFormat="1" x14ac:dyDescent="0.35"/>
    <row r="2218" s="4" customFormat="1" x14ac:dyDescent="0.35"/>
    <row r="2219" s="4" customFormat="1" x14ac:dyDescent="0.35"/>
    <row r="2220" s="4" customFormat="1" x14ac:dyDescent="0.35"/>
    <row r="2221" s="4" customFormat="1" x14ac:dyDescent="0.35"/>
    <row r="2222" s="4" customFormat="1" x14ac:dyDescent="0.35"/>
    <row r="2223" s="4" customFormat="1" x14ac:dyDescent="0.35"/>
    <row r="2224" s="4" customFormat="1" x14ac:dyDescent="0.35"/>
    <row r="2225" s="4" customFormat="1" x14ac:dyDescent="0.35"/>
    <row r="2226" s="4" customFormat="1" x14ac:dyDescent="0.35"/>
    <row r="2227" s="4" customFormat="1" x14ac:dyDescent="0.35"/>
    <row r="2228" s="4" customFormat="1" x14ac:dyDescent="0.35"/>
    <row r="2229" s="4" customFormat="1" x14ac:dyDescent="0.35"/>
    <row r="2230" s="4" customFormat="1" x14ac:dyDescent="0.35"/>
    <row r="2231" s="4" customFormat="1" x14ac:dyDescent="0.35"/>
    <row r="2232" s="4" customFormat="1" x14ac:dyDescent="0.35"/>
    <row r="2233" s="4" customFormat="1" x14ac:dyDescent="0.35"/>
    <row r="2234" s="4" customFormat="1" x14ac:dyDescent="0.35"/>
    <row r="2235" s="4" customFormat="1" x14ac:dyDescent="0.35"/>
    <row r="2236" s="4" customFormat="1" x14ac:dyDescent="0.35"/>
    <row r="2237" s="4" customFormat="1" x14ac:dyDescent="0.35"/>
    <row r="2238" s="4" customFormat="1" x14ac:dyDescent="0.35"/>
    <row r="2239" s="4" customFormat="1" x14ac:dyDescent="0.35"/>
    <row r="2240" s="4" customFormat="1" x14ac:dyDescent="0.35"/>
    <row r="2241" s="4" customFormat="1" x14ac:dyDescent="0.35"/>
    <row r="2242" s="4" customFormat="1" x14ac:dyDescent="0.35"/>
    <row r="2243" s="4" customFormat="1" x14ac:dyDescent="0.35"/>
    <row r="2244" s="4" customFormat="1" x14ac:dyDescent="0.35"/>
    <row r="2245" s="4" customFormat="1" x14ac:dyDescent="0.35"/>
    <row r="2246" s="4" customFormat="1" x14ac:dyDescent="0.35"/>
    <row r="2247" s="4" customFormat="1" x14ac:dyDescent="0.35"/>
    <row r="2248" s="4" customFormat="1" x14ac:dyDescent="0.35"/>
    <row r="2249" s="4" customFormat="1" x14ac:dyDescent="0.35"/>
    <row r="2250" s="4" customFormat="1" x14ac:dyDescent="0.35"/>
    <row r="2251" s="4" customFormat="1" x14ac:dyDescent="0.35"/>
    <row r="2252" s="4" customFormat="1" x14ac:dyDescent="0.35"/>
    <row r="2253" s="4" customFormat="1" x14ac:dyDescent="0.35"/>
    <row r="2254" s="4" customFormat="1" x14ac:dyDescent="0.35"/>
    <row r="2255" s="4" customFormat="1" x14ac:dyDescent="0.35"/>
    <row r="2256" s="4" customFormat="1" x14ac:dyDescent="0.35"/>
    <row r="2257" s="4" customFormat="1" x14ac:dyDescent="0.35"/>
    <row r="2258" s="4" customFormat="1" x14ac:dyDescent="0.35"/>
    <row r="2259" s="4" customFormat="1" x14ac:dyDescent="0.35"/>
    <row r="2260" s="4" customFormat="1" x14ac:dyDescent="0.35"/>
    <row r="2261" s="4" customFormat="1" x14ac:dyDescent="0.35"/>
    <row r="2262" s="4" customFormat="1" x14ac:dyDescent="0.35"/>
    <row r="2263" s="4" customFormat="1" x14ac:dyDescent="0.35"/>
    <row r="2264" s="4" customFormat="1" x14ac:dyDescent="0.35"/>
    <row r="2265" s="4" customFormat="1" x14ac:dyDescent="0.35"/>
    <row r="2266" s="4" customFormat="1" x14ac:dyDescent="0.35"/>
    <row r="2267" s="4" customFormat="1" x14ac:dyDescent="0.35"/>
    <row r="2268" s="4" customFormat="1" x14ac:dyDescent="0.35"/>
    <row r="2269" s="4" customFormat="1" x14ac:dyDescent="0.35"/>
    <row r="2270" s="4" customFormat="1" x14ac:dyDescent="0.35"/>
    <row r="2271" s="4" customFormat="1" x14ac:dyDescent="0.35"/>
    <row r="2272" s="4" customFormat="1" x14ac:dyDescent="0.35"/>
    <row r="2273" s="4" customFormat="1" x14ac:dyDescent="0.35"/>
    <row r="2274" s="4" customFormat="1" x14ac:dyDescent="0.35"/>
    <row r="2275" s="4" customFormat="1" x14ac:dyDescent="0.35"/>
    <row r="2276" s="4" customFormat="1" x14ac:dyDescent="0.35"/>
    <row r="2277" s="4" customFormat="1" x14ac:dyDescent="0.35"/>
    <row r="2278" s="4" customFormat="1" x14ac:dyDescent="0.35"/>
    <row r="2279" s="4" customFormat="1" x14ac:dyDescent="0.35"/>
    <row r="2280" s="4" customFormat="1" x14ac:dyDescent="0.35"/>
    <row r="2281" s="4" customFormat="1" x14ac:dyDescent="0.35"/>
    <row r="2282" s="4" customFormat="1" x14ac:dyDescent="0.35"/>
    <row r="2283" s="4" customFormat="1" x14ac:dyDescent="0.35"/>
    <row r="2284" s="4" customFormat="1" x14ac:dyDescent="0.35"/>
    <row r="2285" s="4" customFormat="1" x14ac:dyDescent="0.35"/>
    <row r="2286" s="4" customFormat="1" x14ac:dyDescent="0.35"/>
    <row r="2287" s="4" customFormat="1" x14ac:dyDescent="0.35"/>
    <row r="2288" s="4" customFormat="1" x14ac:dyDescent="0.35"/>
    <row r="2289" s="4" customFormat="1" x14ac:dyDescent="0.35"/>
    <row r="2290" s="4" customFormat="1" x14ac:dyDescent="0.35"/>
    <row r="2291" s="4" customFormat="1" x14ac:dyDescent="0.35"/>
    <row r="2292" s="4" customFormat="1" x14ac:dyDescent="0.35"/>
    <row r="2293" s="4" customFormat="1" x14ac:dyDescent="0.35"/>
    <row r="2294" s="4" customFormat="1" x14ac:dyDescent="0.35"/>
    <row r="2295" s="4" customFormat="1" x14ac:dyDescent="0.35"/>
    <row r="2296" s="4" customFormat="1" x14ac:dyDescent="0.35"/>
    <row r="2297" s="4" customFormat="1" x14ac:dyDescent="0.35"/>
    <row r="2298" s="4" customFormat="1" x14ac:dyDescent="0.35"/>
    <row r="2299" s="4" customFormat="1" x14ac:dyDescent="0.35"/>
    <row r="2300" s="4" customFormat="1" x14ac:dyDescent="0.35"/>
    <row r="2301" s="4" customFormat="1" x14ac:dyDescent="0.35"/>
    <row r="2302" s="4" customFormat="1" x14ac:dyDescent="0.35"/>
    <row r="2303" s="4" customFormat="1" x14ac:dyDescent="0.35"/>
    <row r="2304" s="4" customFormat="1" x14ac:dyDescent="0.35"/>
    <row r="2305" s="4" customFormat="1" x14ac:dyDescent="0.35"/>
    <row r="2306" s="4" customFormat="1" x14ac:dyDescent="0.35"/>
    <row r="2307" s="4" customFormat="1" x14ac:dyDescent="0.35"/>
    <row r="2308" s="4" customFormat="1" x14ac:dyDescent="0.35"/>
    <row r="2309" s="4" customFormat="1" x14ac:dyDescent="0.35"/>
    <row r="2310" s="4" customFormat="1" x14ac:dyDescent="0.35"/>
    <row r="2311" s="4" customFormat="1" x14ac:dyDescent="0.35"/>
    <row r="2312" s="4" customFormat="1" x14ac:dyDescent="0.35"/>
    <row r="2313" s="4" customFormat="1" x14ac:dyDescent="0.35"/>
    <row r="2314" s="4" customFormat="1" x14ac:dyDescent="0.35"/>
    <row r="2315" s="4" customFormat="1" x14ac:dyDescent="0.35"/>
    <row r="2316" s="4" customFormat="1" x14ac:dyDescent="0.35"/>
    <row r="2317" s="4" customFormat="1" x14ac:dyDescent="0.35"/>
    <row r="2318" s="4" customFormat="1" x14ac:dyDescent="0.35"/>
    <row r="2319" s="4" customFormat="1" x14ac:dyDescent="0.35"/>
    <row r="2320" s="4" customFormat="1" x14ac:dyDescent="0.35"/>
    <row r="2321" s="4" customFormat="1" x14ac:dyDescent="0.35"/>
    <row r="2322" s="4" customFormat="1" x14ac:dyDescent="0.35"/>
    <row r="2323" s="4" customFormat="1" x14ac:dyDescent="0.35"/>
    <row r="2324" s="4" customFormat="1" x14ac:dyDescent="0.35"/>
    <row r="2325" s="4" customFormat="1" x14ac:dyDescent="0.35"/>
    <row r="2326" s="4" customFormat="1" x14ac:dyDescent="0.35"/>
    <row r="2327" s="4" customFormat="1" x14ac:dyDescent="0.35"/>
    <row r="2328" s="4" customFormat="1" x14ac:dyDescent="0.35"/>
    <row r="2329" s="4" customFormat="1" x14ac:dyDescent="0.35"/>
    <row r="2330" s="4" customFormat="1" x14ac:dyDescent="0.35"/>
    <row r="2331" s="4" customFormat="1" x14ac:dyDescent="0.35"/>
    <row r="2332" s="4" customFormat="1" x14ac:dyDescent="0.35"/>
    <row r="2333" s="4" customFormat="1" x14ac:dyDescent="0.35"/>
    <row r="2334" s="4" customFormat="1" x14ac:dyDescent="0.35"/>
    <row r="2335" s="4" customFormat="1" x14ac:dyDescent="0.35"/>
    <row r="2336" s="4" customFormat="1" x14ac:dyDescent="0.35"/>
    <row r="2337" s="4" customFormat="1" x14ac:dyDescent="0.35"/>
    <row r="2338" s="4" customFormat="1" x14ac:dyDescent="0.35"/>
    <row r="2339" s="4" customFormat="1" x14ac:dyDescent="0.35"/>
    <row r="2340" s="4" customFormat="1" x14ac:dyDescent="0.35"/>
    <row r="2341" s="4" customFormat="1" x14ac:dyDescent="0.35"/>
    <row r="2342" s="4" customFormat="1" x14ac:dyDescent="0.35"/>
    <row r="2343" s="4" customFormat="1" x14ac:dyDescent="0.35"/>
    <row r="2344" s="4" customFormat="1" x14ac:dyDescent="0.35"/>
    <row r="2345" s="4" customFormat="1" x14ac:dyDescent="0.35"/>
    <row r="2346" s="4" customFormat="1" x14ac:dyDescent="0.35"/>
    <row r="2347" s="4" customFormat="1" x14ac:dyDescent="0.35"/>
    <row r="2348" s="4" customFormat="1" x14ac:dyDescent="0.35"/>
    <row r="2349" s="4" customFormat="1" x14ac:dyDescent="0.35"/>
    <row r="2350" s="4" customFormat="1" x14ac:dyDescent="0.35"/>
    <row r="2351" s="4" customFormat="1" x14ac:dyDescent="0.35"/>
    <row r="2352" s="4" customFormat="1" x14ac:dyDescent="0.35"/>
    <row r="2353" s="4" customFormat="1" x14ac:dyDescent="0.35"/>
    <row r="2354" s="4" customFormat="1" x14ac:dyDescent="0.35"/>
    <row r="2355" s="4" customFormat="1" x14ac:dyDescent="0.35"/>
    <row r="2356" s="4" customFormat="1" x14ac:dyDescent="0.35"/>
    <row r="2357" s="4" customFormat="1" x14ac:dyDescent="0.35"/>
    <row r="2358" s="4" customFormat="1" x14ac:dyDescent="0.35"/>
    <row r="2359" s="4" customFormat="1" x14ac:dyDescent="0.35"/>
    <row r="2360" s="4" customFormat="1" x14ac:dyDescent="0.35"/>
    <row r="2361" s="4" customFormat="1" x14ac:dyDescent="0.35"/>
    <row r="2362" s="4" customFormat="1" x14ac:dyDescent="0.35"/>
    <row r="2363" s="4" customFormat="1" x14ac:dyDescent="0.35"/>
    <row r="2364" s="4" customFormat="1" x14ac:dyDescent="0.35"/>
    <row r="2365" s="4" customFormat="1" x14ac:dyDescent="0.35"/>
    <row r="2366" s="4" customFormat="1" x14ac:dyDescent="0.35"/>
    <row r="2367" s="4" customFormat="1" x14ac:dyDescent="0.35"/>
    <row r="2368" s="4" customFormat="1" x14ac:dyDescent="0.35"/>
    <row r="2369" s="4" customFormat="1" x14ac:dyDescent="0.35"/>
    <row r="2370" s="4" customFormat="1" x14ac:dyDescent="0.35"/>
    <row r="2371" s="4" customFormat="1" x14ac:dyDescent="0.35"/>
    <row r="2372" s="4" customFormat="1" x14ac:dyDescent="0.35"/>
    <row r="2373" s="4" customFormat="1" x14ac:dyDescent="0.35"/>
    <row r="2374" s="4" customFormat="1" x14ac:dyDescent="0.35"/>
    <row r="2375" s="4" customFormat="1" x14ac:dyDescent="0.35"/>
    <row r="2376" s="4" customFormat="1" x14ac:dyDescent="0.35"/>
    <row r="2377" s="4" customFormat="1" x14ac:dyDescent="0.35"/>
    <row r="2378" s="4" customFormat="1" x14ac:dyDescent="0.35"/>
    <row r="2379" s="4" customFormat="1" x14ac:dyDescent="0.35"/>
    <row r="2380" s="4" customFormat="1" x14ac:dyDescent="0.35"/>
    <row r="2381" s="4" customFormat="1" x14ac:dyDescent="0.35"/>
    <row r="2382" s="4" customFormat="1" x14ac:dyDescent="0.35"/>
    <row r="2383" s="4" customFormat="1" x14ac:dyDescent="0.35"/>
    <row r="2384" s="4" customFormat="1" x14ac:dyDescent="0.35"/>
    <row r="2385" s="4" customFormat="1" x14ac:dyDescent="0.35"/>
    <row r="2386" s="4" customFormat="1" x14ac:dyDescent="0.35"/>
    <row r="2387" s="4" customFormat="1" x14ac:dyDescent="0.35"/>
    <row r="2388" s="4" customFormat="1" x14ac:dyDescent="0.35"/>
    <row r="2389" s="4" customFormat="1" x14ac:dyDescent="0.35"/>
    <row r="2390" s="4" customFormat="1" x14ac:dyDescent="0.35"/>
    <row r="2391" s="4" customFormat="1" x14ac:dyDescent="0.35"/>
    <row r="2392" s="4" customFormat="1" x14ac:dyDescent="0.35"/>
    <row r="2393" s="4" customFormat="1" x14ac:dyDescent="0.35"/>
    <row r="2394" s="4" customFormat="1" x14ac:dyDescent="0.35"/>
    <row r="2395" s="4" customFormat="1" x14ac:dyDescent="0.35"/>
    <row r="2396" s="4" customFormat="1" x14ac:dyDescent="0.35"/>
    <row r="2397" s="4" customFormat="1" x14ac:dyDescent="0.35"/>
    <row r="2398" s="4" customFormat="1" x14ac:dyDescent="0.35"/>
    <row r="2399" s="4" customFormat="1" x14ac:dyDescent="0.35"/>
    <row r="2400" s="4" customFormat="1" x14ac:dyDescent="0.35"/>
    <row r="2401" s="4" customFormat="1" x14ac:dyDescent="0.35"/>
    <row r="2402" s="4" customFormat="1" x14ac:dyDescent="0.35"/>
    <row r="2403" s="4" customFormat="1" x14ac:dyDescent="0.35"/>
    <row r="2404" s="4" customFormat="1" x14ac:dyDescent="0.35"/>
    <row r="2405" s="4" customFormat="1" x14ac:dyDescent="0.35"/>
    <row r="2406" s="4" customFormat="1" x14ac:dyDescent="0.35"/>
    <row r="2407" s="4" customFormat="1" x14ac:dyDescent="0.35"/>
    <row r="2408" s="4" customFormat="1" x14ac:dyDescent="0.35"/>
    <row r="2409" s="4" customFormat="1" x14ac:dyDescent="0.35"/>
    <row r="2410" s="4" customFormat="1" x14ac:dyDescent="0.35"/>
    <row r="2411" s="4" customFormat="1" x14ac:dyDescent="0.35"/>
    <row r="2412" s="4" customFormat="1" x14ac:dyDescent="0.35"/>
    <row r="2413" s="4" customFormat="1" x14ac:dyDescent="0.35"/>
    <row r="2414" s="4" customFormat="1" x14ac:dyDescent="0.35"/>
    <row r="2415" s="4" customFormat="1" x14ac:dyDescent="0.35"/>
    <row r="2416" s="4" customFormat="1" x14ac:dyDescent="0.35"/>
    <row r="2417" s="4" customFormat="1" x14ac:dyDescent="0.35"/>
    <row r="2418" s="4" customFormat="1" x14ac:dyDescent="0.35"/>
    <row r="2419" s="4" customFormat="1" x14ac:dyDescent="0.35"/>
    <row r="2420" s="4" customFormat="1" x14ac:dyDescent="0.35"/>
    <row r="2421" s="4" customFormat="1" x14ac:dyDescent="0.35"/>
    <row r="2422" s="4" customFormat="1" x14ac:dyDescent="0.35"/>
    <row r="2423" s="4" customFormat="1" x14ac:dyDescent="0.35"/>
    <row r="2424" s="4" customFormat="1" x14ac:dyDescent="0.35"/>
    <row r="2425" s="4" customFormat="1" x14ac:dyDescent="0.35"/>
    <row r="2426" s="4" customFormat="1" x14ac:dyDescent="0.35"/>
    <row r="2427" s="4" customFormat="1" x14ac:dyDescent="0.35"/>
    <row r="2428" s="4" customFormat="1" x14ac:dyDescent="0.35"/>
    <row r="2429" s="4" customFormat="1" x14ac:dyDescent="0.35"/>
    <row r="2430" s="4" customFormat="1" x14ac:dyDescent="0.35"/>
    <row r="2431" s="4" customFormat="1" x14ac:dyDescent="0.35"/>
    <row r="2432" s="4" customFormat="1" x14ac:dyDescent="0.35"/>
    <row r="2433" s="4" customFormat="1" x14ac:dyDescent="0.35"/>
    <row r="2434" s="4" customFormat="1" x14ac:dyDescent="0.35"/>
    <row r="2435" s="4" customFormat="1" x14ac:dyDescent="0.35"/>
    <row r="2436" s="4" customFormat="1" x14ac:dyDescent="0.35"/>
    <row r="2437" s="4" customFormat="1" x14ac:dyDescent="0.35"/>
    <row r="2438" s="4" customFormat="1" x14ac:dyDescent="0.35"/>
    <row r="2439" s="4" customFormat="1" x14ac:dyDescent="0.35"/>
    <row r="2440" s="4" customFormat="1" x14ac:dyDescent="0.35"/>
    <row r="2441" s="4" customFormat="1" x14ac:dyDescent="0.35"/>
    <row r="2442" s="4" customFormat="1" x14ac:dyDescent="0.35"/>
    <row r="2443" s="4" customFormat="1" x14ac:dyDescent="0.35"/>
    <row r="2444" s="4" customFormat="1" x14ac:dyDescent="0.35"/>
    <row r="2445" s="4" customFormat="1" x14ac:dyDescent="0.35"/>
    <row r="2446" s="4" customFormat="1" x14ac:dyDescent="0.35"/>
    <row r="2447" s="4" customFormat="1" x14ac:dyDescent="0.35"/>
    <row r="2448" s="4" customFormat="1" x14ac:dyDescent="0.35"/>
    <row r="2449" s="4" customFormat="1" x14ac:dyDescent="0.35"/>
    <row r="2450" s="4" customFormat="1" x14ac:dyDescent="0.35"/>
    <row r="2451" s="4" customFormat="1" x14ac:dyDescent="0.35"/>
    <row r="2452" s="4" customFormat="1" x14ac:dyDescent="0.35"/>
    <row r="2453" s="4" customFormat="1" x14ac:dyDescent="0.35"/>
    <row r="2454" s="4" customFormat="1" x14ac:dyDescent="0.35"/>
    <row r="2455" s="4" customFormat="1" x14ac:dyDescent="0.35"/>
    <row r="2456" s="4" customFormat="1" x14ac:dyDescent="0.35"/>
    <row r="2457" s="4" customFormat="1" x14ac:dyDescent="0.35"/>
    <row r="2458" s="4" customFormat="1" x14ac:dyDescent="0.35"/>
    <row r="2459" s="4" customFormat="1" x14ac:dyDescent="0.35"/>
    <row r="2460" s="4" customFormat="1" x14ac:dyDescent="0.35"/>
    <row r="2461" s="4" customFormat="1" x14ac:dyDescent="0.35"/>
    <row r="2462" s="4" customFormat="1" x14ac:dyDescent="0.35"/>
    <row r="2463" s="4" customFormat="1" x14ac:dyDescent="0.35"/>
    <row r="2464" s="4" customFormat="1" x14ac:dyDescent="0.35"/>
    <row r="2465" s="4" customFormat="1" x14ac:dyDescent="0.35"/>
    <row r="2466" s="4" customFormat="1" x14ac:dyDescent="0.35"/>
    <row r="2467" s="4" customFormat="1" x14ac:dyDescent="0.35"/>
    <row r="2468" s="4" customFormat="1" x14ac:dyDescent="0.35"/>
    <row r="2469" s="4" customFormat="1" x14ac:dyDescent="0.35"/>
    <row r="2470" s="4" customFormat="1" x14ac:dyDescent="0.35"/>
    <row r="2471" s="4" customFormat="1" x14ac:dyDescent="0.35"/>
    <row r="2472" s="4" customFormat="1" x14ac:dyDescent="0.35"/>
    <row r="2473" s="4" customFormat="1" x14ac:dyDescent="0.35"/>
    <row r="2474" s="4" customFormat="1" x14ac:dyDescent="0.35"/>
    <row r="2475" s="4" customFormat="1" x14ac:dyDescent="0.35"/>
    <row r="2476" s="4" customFormat="1" x14ac:dyDescent="0.35"/>
    <row r="2477" s="4" customFormat="1" x14ac:dyDescent="0.35"/>
    <row r="2478" s="4" customFormat="1" x14ac:dyDescent="0.35"/>
    <row r="2479" s="4" customFormat="1" x14ac:dyDescent="0.35"/>
    <row r="2480" s="4" customFormat="1" x14ac:dyDescent="0.35"/>
    <row r="2481" s="4" customFormat="1" x14ac:dyDescent="0.35"/>
    <row r="2482" s="4" customFormat="1" x14ac:dyDescent="0.35"/>
    <row r="2483" s="4" customFormat="1" x14ac:dyDescent="0.35"/>
    <row r="2484" s="4" customFormat="1" x14ac:dyDescent="0.35"/>
    <row r="2485" s="4" customFormat="1" x14ac:dyDescent="0.35"/>
    <row r="2486" s="4" customFormat="1" x14ac:dyDescent="0.35"/>
    <row r="2487" s="4" customFormat="1" x14ac:dyDescent="0.35"/>
    <row r="2488" s="4" customFormat="1" x14ac:dyDescent="0.35"/>
    <row r="2489" s="4" customFormat="1" x14ac:dyDescent="0.35"/>
    <row r="2490" s="4" customFormat="1" x14ac:dyDescent="0.35"/>
    <row r="2491" s="4" customFormat="1" x14ac:dyDescent="0.35"/>
    <row r="2492" s="4" customFormat="1" x14ac:dyDescent="0.35"/>
    <row r="2493" s="4" customFormat="1" x14ac:dyDescent="0.35"/>
    <row r="2494" s="4" customFormat="1" x14ac:dyDescent="0.35"/>
    <row r="2495" s="4" customFormat="1" x14ac:dyDescent="0.35"/>
    <row r="2496" s="4" customFormat="1" x14ac:dyDescent="0.35"/>
    <row r="2497" s="4" customFormat="1" x14ac:dyDescent="0.35"/>
    <row r="2498" s="4" customFormat="1" x14ac:dyDescent="0.35"/>
    <row r="2499" s="4" customFormat="1" x14ac:dyDescent="0.35"/>
    <row r="2500" s="4" customFormat="1" x14ac:dyDescent="0.35"/>
    <row r="2501" s="4" customFormat="1" x14ac:dyDescent="0.35"/>
    <row r="2502" s="4" customFormat="1" x14ac:dyDescent="0.35"/>
    <row r="2503" s="4" customFormat="1" x14ac:dyDescent="0.35"/>
    <row r="2504" s="4" customFormat="1" x14ac:dyDescent="0.35"/>
    <row r="2505" s="4" customFormat="1" x14ac:dyDescent="0.35"/>
    <row r="2506" s="4" customFormat="1" x14ac:dyDescent="0.35"/>
    <row r="2507" s="4" customFormat="1" x14ac:dyDescent="0.35"/>
    <row r="2508" s="4" customFormat="1" x14ac:dyDescent="0.35"/>
    <row r="2509" s="4" customFormat="1" x14ac:dyDescent="0.35"/>
    <row r="2510" s="4" customFormat="1" x14ac:dyDescent="0.35"/>
    <row r="2511" s="4" customFormat="1" x14ac:dyDescent="0.35"/>
    <row r="2512" s="4" customFormat="1" x14ac:dyDescent="0.35"/>
    <row r="2513" s="4" customFormat="1" x14ac:dyDescent="0.35"/>
    <row r="2514" s="4" customFormat="1" x14ac:dyDescent="0.35"/>
    <row r="2515" s="4" customFormat="1" x14ac:dyDescent="0.35"/>
    <row r="2516" s="4" customFormat="1" x14ac:dyDescent="0.35"/>
    <row r="2517" s="4" customFormat="1" x14ac:dyDescent="0.35"/>
    <row r="2518" s="4" customFormat="1" x14ac:dyDescent="0.35"/>
    <row r="2519" s="4" customFormat="1" x14ac:dyDescent="0.35"/>
    <row r="2520" s="4" customFormat="1" x14ac:dyDescent="0.35"/>
    <row r="2521" s="4" customFormat="1" x14ac:dyDescent="0.35"/>
    <row r="2522" s="4" customFormat="1" x14ac:dyDescent="0.35"/>
    <row r="2523" s="4" customFormat="1" x14ac:dyDescent="0.35"/>
    <row r="2524" s="4" customFormat="1" x14ac:dyDescent="0.35"/>
    <row r="2525" s="4" customFormat="1" x14ac:dyDescent="0.35"/>
    <row r="2526" s="4" customFormat="1" x14ac:dyDescent="0.35"/>
    <row r="2527" s="4" customFormat="1" x14ac:dyDescent="0.35"/>
    <row r="2528" s="4" customFormat="1" x14ac:dyDescent="0.35"/>
    <row r="2529" s="4" customFormat="1" x14ac:dyDescent="0.35"/>
    <row r="2530" s="4" customFormat="1" x14ac:dyDescent="0.35"/>
    <row r="2531" s="4" customFormat="1" x14ac:dyDescent="0.35"/>
    <row r="2532" s="4" customFormat="1" x14ac:dyDescent="0.35"/>
    <row r="2533" s="4" customFormat="1" x14ac:dyDescent="0.35"/>
    <row r="2534" s="4" customFormat="1" x14ac:dyDescent="0.35"/>
    <row r="2535" s="4" customFormat="1" x14ac:dyDescent="0.35"/>
    <row r="2536" s="4" customFormat="1" x14ac:dyDescent="0.35"/>
    <row r="2537" s="4" customFormat="1" x14ac:dyDescent="0.35"/>
    <row r="2538" s="4" customFormat="1" x14ac:dyDescent="0.35"/>
    <row r="2539" s="4" customFormat="1" x14ac:dyDescent="0.35"/>
    <row r="2540" s="4" customFormat="1" x14ac:dyDescent="0.35"/>
    <row r="2541" s="4" customFormat="1" x14ac:dyDescent="0.35"/>
    <row r="2542" s="4" customFormat="1" x14ac:dyDescent="0.35"/>
    <row r="2543" s="4" customFormat="1" x14ac:dyDescent="0.35"/>
    <row r="2544" s="4" customFormat="1" x14ac:dyDescent="0.35"/>
    <row r="2545" s="4" customFormat="1" x14ac:dyDescent="0.35"/>
    <row r="2546" s="4" customFormat="1" x14ac:dyDescent="0.35"/>
    <row r="2547" s="4" customFormat="1" x14ac:dyDescent="0.35"/>
    <row r="2548" s="4" customFormat="1" x14ac:dyDescent="0.35"/>
    <row r="2549" s="4" customFormat="1" x14ac:dyDescent="0.35"/>
    <row r="2550" s="4" customFormat="1" x14ac:dyDescent="0.35"/>
    <row r="2551" s="4" customFormat="1" x14ac:dyDescent="0.35"/>
    <row r="2552" s="4" customFormat="1" x14ac:dyDescent="0.35"/>
    <row r="2553" s="4" customFormat="1" x14ac:dyDescent="0.35"/>
    <row r="2554" s="4" customFormat="1" x14ac:dyDescent="0.35"/>
    <row r="2555" s="4" customFormat="1" x14ac:dyDescent="0.35"/>
    <row r="2556" s="4" customFormat="1" x14ac:dyDescent="0.35"/>
    <row r="2557" s="4" customFormat="1" x14ac:dyDescent="0.35"/>
    <row r="2558" s="4" customFormat="1" x14ac:dyDescent="0.35"/>
    <row r="2559" s="4" customFormat="1" x14ac:dyDescent="0.35"/>
    <row r="2560" s="4" customFormat="1" x14ac:dyDescent="0.35"/>
    <row r="2561" s="4" customFormat="1" x14ac:dyDescent="0.35"/>
    <row r="2562" s="4" customFormat="1" x14ac:dyDescent="0.35"/>
    <row r="2563" s="4" customFormat="1" x14ac:dyDescent="0.35"/>
    <row r="2564" s="4" customFormat="1" x14ac:dyDescent="0.35"/>
    <row r="2565" s="4" customFormat="1" x14ac:dyDescent="0.35"/>
    <row r="2566" s="4" customFormat="1" x14ac:dyDescent="0.35"/>
    <row r="2567" s="4" customFormat="1" x14ac:dyDescent="0.35"/>
    <row r="2568" s="4" customFormat="1" x14ac:dyDescent="0.35"/>
    <row r="2569" s="4" customFormat="1" x14ac:dyDescent="0.35"/>
    <row r="2570" s="4" customFormat="1" x14ac:dyDescent="0.35"/>
    <row r="2571" s="4" customFormat="1" x14ac:dyDescent="0.35"/>
    <row r="2572" s="4" customFormat="1" x14ac:dyDescent="0.35"/>
    <row r="2573" s="4" customFormat="1" x14ac:dyDescent="0.35"/>
    <row r="2574" s="4" customFormat="1" x14ac:dyDescent="0.35"/>
    <row r="2575" s="4" customFormat="1" x14ac:dyDescent="0.35"/>
    <row r="2576" s="4" customFormat="1" x14ac:dyDescent="0.35"/>
    <row r="2577" s="4" customFormat="1" x14ac:dyDescent="0.35"/>
    <row r="2578" s="4" customFormat="1" x14ac:dyDescent="0.35"/>
    <row r="2579" s="4" customFormat="1" x14ac:dyDescent="0.35"/>
    <row r="2580" s="4" customFormat="1" x14ac:dyDescent="0.35"/>
    <row r="2581" s="4" customFormat="1" x14ac:dyDescent="0.35"/>
    <row r="2582" s="4" customFormat="1" x14ac:dyDescent="0.35"/>
    <row r="2583" s="4" customFormat="1" x14ac:dyDescent="0.35"/>
    <row r="2584" s="4" customFormat="1" x14ac:dyDescent="0.35"/>
    <row r="2585" s="4" customFormat="1" x14ac:dyDescent="0.35"/>
    <row r="2586" s="4" customFormat="1" x14ac:dyDescent="0.35"/>
    <row r="2587" s="4" customFormat="1" x14ac:dyDescent="0.35"/>
    <row r="2588" s="4" customFormat="1" x14ac:dyDescent="0.35"/>
    <row r="2589" s="4" customFormat="1" x14ac:dyDescent="0.35"/>
    <row r="2590" s="4" customFormat="1" x14ac:dyDescent="0.35"/>
    <row r="2591" s="4" customFormat="1" x14ac:dyDescent="0.35"/>
    <row r="2592" s="4" customFormat="1" x14ac:dyDescent="0.35"/>
    <row r="2593" s="4" customFormat="1" x14ac:dyDescent="0.35"/>
    <row r="2594" s="4" customFormat="1" x14ac:dyDescent="0.35"/>
    <row r="2595" s="4" customFormat="1" x14ac:dyDescent="0.35"/>
    <row r="2596" s="4" customFormat="1" x14ac:dyDescent="0.35"/>
    <row r="2597" s="4" customFormat="1" x14ac:dyDescent="0.35"/>
    <row r="2598" s="4" customFormat="1" x14ac:dyDescent="0.35"/>
    <row r="2599" s="4" customFormat="1" x14ac:dyDescent="0.35"/>
    <row r="2600" s="4" customFormat="1" x14ac:dyDescent="0.35"/>
    <row r="2601" s="4" customFormat="1" x14ac:dyDescent="0.35"/>
    <row r="2602" s="4" customFormat="1" x14ac:dyDescent="0.35"/>
    <row r="2603" s="4" customFormat="1" x14ac:dyDescent="0.35"/>
    <row r="2604" s="4" customFormat="1" x14ac:dyDescent="0.35"/>
    <row r="2605" s="4" customFormat="1" x14ac:dyDescent="0.35"/>
    <row r="2606" s="4" customFormat="1" x14ac:dyDescent="0.35"/>
    <row r="2607" s="4" customFormat="1" x14ac:dyDescent="0.35"/>
    <row r="2608" s="4" customFormat="1" x14ac:dyDescent="0.35"/>
    <row r="2609" s="4" customFormat="1" x14ac:dyDescent="0.35"/>
    <row r="2610" s="4" customFormat="1" x14ac:dyDescent="0.35"/>
    <row r="2611" s="4" customFormat="1" x14ac:dyDescent="0.35"/>
    <row r="2612" s="4" customFormat="1" x14ac:dyDescent="0.35"/>
    <row r="2613" s="4" customFormat="1" x14ac:dyDescent="0.35"/>
    <row r="2614" s="4" customFormat="1" x14ac:dyDescent="0.35"/>
    <row r="2615" s="4" customFormat="1" x14ac:dyDescent="0.35"/>
    <row r="2616" s="4" customFormat="1" x14ac:dyDescent="0.35"/>
    <row r="2617" s="4" customFormat="1" x14ac:dyDescent="0.35"/>
    <row r="2618" s="4" customFormat="1" x14ac:dyDescent="0.35"/>
    <row r="2619" s="4" customFormat="1" x14ac:dyDescent="0.35"/>
    <row r="2620" s="4" customFormat="1" x14ac:dyDescent="0.35"/>
    <row r="2621" s="4" customFormat="1" x14ac:dyDescent="0.35"/>
    <row r="2622" s="4" customFormat="1" x14ac:dyDescent="0.35"/>
    <row r="2623" s="4" customFormat="1" x14ac:dyDescent="0.35"/>
    <row r="2624" s="4" customFormat="1" x14ac:dyDescent="0.35"/>
    <row r="2625" s="4" customFormat="1" x14ac:dyDescent="0.35"/>
    <row r="2626" s="4" customFormat="1" x14ac:dyDescent="0.35"/>
    <row r="2627" s="4" customFormat="1" x14ac:dyDescent="0.35"/>
    <row r="2628" s="4" customFormat="1" x14ac:dyDescent="0.35"/>
    <row r="2629" s="4" customFormat="1" x14ac:dyDescent="0.35"/>
    <row r="2630" s="4" customFormat="1" x14ac:dyDescent="0.35"/>
    <row r="2631" s="4" customFormat="1" x14ac:dyDescent="0.35"/>
    <row r="2632" s="4" customFormat="1" x14ac:dyDescent="0.35"/>
    <row r="2633" s="4" customFormat="1" x14ac:dyDescent="0.35"/>
    <row r="2634" s="4" customFormat="1" x14ac:dyDescent="0.35"/>
    <row r="2635" s="4" customFormat="1" x14ac:dyDescent="0.35"/>
    <row r="2636" s="4" customFormat="1" x14ac:dyDescent="0.35"/>
    <row r="2637" s="4" customFormat="1" x14ac:dyDescent="0.35"/>
    <row r="2638" s="4" customFormat="1" x14ac:dyDescent="0.35"/>
    <row r="2639" s="4" customFormat="1" x14ac:dyDescent="0.35"/>
    <row r="2640" s="4" customFormat="1" x14ac:dyDescent="0.35"/>
    <row r="2641" s="4" customFormat="1" x14ac:dyDescent="0.35"/>
    <row r="2642" s="4" customFormat="1" x14ac:dyDescent="0.35"/>
    <row r="2643" s="4" customFormat="1" x14ac:dyDescent="0.35"/>
    <row r="2644" s="4" customFormat="1" x14ac:dyDescent="0.35"/>
    <row r="2645" s="4" customFormat="1" x14ac:dyDescent="0.35"/>
    <row r="2646" s="4" customFormat="1" x14ac:dyDescent="0.35"/>
    <row r="2647" s="4" customFormat="1" x14ac:dyDescent="0.35"/>
    <row r="2648" s="4" customFormat="1" x14ac:dyDescent="0.35"/>
    <row r="2649" s="4" customFormat="1" x14ac:dyDescent="0.35"/>
    <row r="2650" s="4" customFormat="1" x14ac:dyDescent="0.35"/>
    <row r="2651" s="4" customFormat="1" x14ac:dyDescent="0.35"/>
    <row r="2652" s="4" customFormat="1" x14ac:dyDescent="0.35"/>
    <row r="2653" s="4" customFormat="1" x14ac:dyDescent="0.35"/>
    <row r="2654" s="4" customFormat="1" x14ac:dyDescent="0.35"/>
    <row r="2655" s="4" customFormat="1" x14ac:dyDescent="0.35"/>
    <row r="2656" s="4" customFormat="1" x14ac:dyDescent="0.35"/>
    <row r="2657" s="4" customFormat="1" x14ac:dyDescent="0.35"/>
    <row r="2658" s="4" customFormat="1" x14ac:dyDescent="0.35"/>
    <row r="2659" s="4" customFormat="1" x14ac:dyDescent="0.35"/>
    <row r="2660" s="4" customFormat="1" x14ac:dyDescent="0.35"/>
    <row r="2661" s="4" customFormat="1" x14ac:dyDescent="0.35"/>
    <row r="2662" s="4" customFormat="1" x14ac:dyDescent="0.35"/>
    <row r="2663" s="4" customFormat="1" x14ac:dyDescent="0.35"/>
    <row r="2664" s="4" customFormat="1" x14ac:dyDescent="0.35"/>
    <row r="2665" s="4" customFormat="1" x14ac:dyDescent="0.35"/>
    <row r="2666" s="4" customFormat="1" x14ac:dyDescent="0.35"/>
    <row r="2667" s="4" customFormat="1" x14ac:dyDescent="0.35"/>
    <row r="2668" s="4" customFormat="1" x14ac:dyDescent="0.35"/>
    <row r="2669" s="4" customFormat="1" x14ac:dyDescent="0.35"/>
    <row r="2670" s="4" customFormat="1" x14ac:dyDescent="0.35"/>
    <row r="2671" s="4" customFormat="1" x14ac:dyDescent="0.35"/>
    <row r="2672" s="4" customFormat="1" x14ac:dyDescent="0.35"/>
    <row r="2673" s="4" customFormat="1" x14ac:dyDescent="0.35"/>
    <row r="2674" s="4" customFormat="1" x14ac:dyDescent="0.35"/>
    <row r="2675" s="4" customFormat="1" x14ac:dyDescent="0.35"/>
    <row r="2676" s="4" customFormat="1" x14ac:dyDescent="0.35"/>
    <row r="2677" s="4" customFormat="1" x14ac:dyDescent="0.35"/>
    <row r="2678" s="4" customFormat="1" x14ac:dyDescent="0.35"/>
    <row r="2679" s="4" customFormat="1" x14ac:dyDescent="0.35"/>
    <row r="2680" s="4" customFormat="1" x14ac:dyDescent="0.35"/>
    <row r="2681" s="4" customFormat="1" x14ac:dyDescent="0.35"/>
    <row r="2682" s="4" customFormat="1" x14ac:dyDescent="0.35"/>
    <row r="2683" s="4" customFormat="1" x14ac:dyDescent="0.35"/>
    <row r="2684" s="4" customFormat="1" x14ac:dyDescent="0.35"/>
    <row r="2685" s="4" customFormat="1" x14ac:dyDescent="0.35"/>
    <row r="2686" s="4" customFormat="1" x14ac:dyDescent="0.35"/>
    <row r="2687" s="4" customFormat="1" x14ac:dyDescent="0.35"/>
    <row r="2688" s="4" customFormat="1" x14ac:dyDescent="0.35"/>
    <row r="2689" s="4" customFormat="1" x14ac:dyDescent="0.35"/>
    <row r="2690" s="4" customFormat="1" x14ac:dyDescent="0.35"/>
    <row r="2691" s="4" customFormat="1" x14ac:dyDescent="0.35"/>
    <row r="2692" s="4" customFormat="1" x14ac:dyDescent="0.35"/>
    <row r="2693" s="4" customFormat="1" x14ac:dyDescent="0.35"/>
    <row r="2694" s="4" customFormat="1" x14ac:dyDescent="0.35"/>
    <row r="2695" s="4" customFormat="1" x14ac:dyDescent="0.35"/>
    <row r="2696" s="4" customFormat="1" x14ac:dyDescent="0.35"/>
    <row r="2697" s="4" customFormat="1" x14ac:dyDescent="0.35"/>
    <row r="2698" s="4" customFormat="1" x14ac:dyDescent="0.35"/>
    <row r="2699" s="4" customFormat="1" x14ac:dyDescent="0.35"/>
    <row r="2700" s="4" customFormat="1" x14ac:dyDescent="0.35"/>
    <row r="2701" s="4" customFormat="1" x14ac:dyDescent="0.35"/>
    <row r="2702" s="4" customFormat="1" x14ac:dyDescent="0.35"/>
    <row r="2703" s="4" customFormat="1" x14ac:dyDescent="0.35"/>
    <row r="2704" s="4" customFormat="1" x14ac:dyDescent="0.35"/>
    <row r="2705" s="4" customFormat="1" x14ac:dyDescent="0.35"/>
    <row r="2706" s="4" customFormat="1" x14ac:dyDescent="0.35"/>
    <row r="2707" s="4" customFormat="1" x14ac:dyDescent="0.35"/>
    <row r="2708" s="4" customFormat="1" x14ac:dyDescent="0.35"/>
    <row r="2709" s="4" customFormat="1" x14ac:dyDescent="0.35"/>
    <row r="2710" s="4" customFormat="1" x14ac:dyDescent="0.35"/>
    <row r="2711" s="4" customFormat="1" x14ac:dyDescent="0.35"/>
    <row r="2712" s="4" customFormat="1" x14ac:dyDescent="0.35"/>
    <row r="2713" s="4" customFormat="1" x14ac:dyDescent="0.35"/>
    <row r="2714" s="4" customFormat="1" x14ac:dyDescent="0.35"/>
    <row r="2715" s="4" customFormat="1" x14ac:dyDescent="0.35"/>
    <row r="2716" s="4" customFormat="1" x14ac:dyDescent="0.35"/>
    <row r="2717" s="4" customFormat="1" x14ac:dyDescent="0.35"/>
    <row r="2718" s="4" customFormat="1" x14ac:dyDescent="0.35"/>
    <row r="2719" s="4" customFormat="1" x14ac:dyDescent="0.35"/>
    <row r="2720" s="4" customFormat="1" x14ac:dyDescent="0.35"/>
    <row r="2721" s="4" customFormat="1" x14ac:dyDescent="0.35"/>
    <row r="2722" s="4" customFormat="1" x14ac:dyDescent="0.35"/>
    <row r="2723" s="4" customFormat="1" x14ac:dyDescent="0.35"/>
    <row r="2724" s="4" customFormat="1" x14ac:dyDescent="0.35"/>
    <row r="2725" s="4" customFormat="1" x14ac:dyDescent="0.35"/>
    <row r="2726" s="4" customFormat="1" x14ac:dyDescent="0.35"/>
    <row r="2727" s="4" customFormat="1" x14ac:dyDescent="0.35"/>
    <row r="2728" s="4" customFormat="1" x14ac:dyDescent="0.35"/>
    <row r="2729" s="4" customFormat="1" x14ac:dyDescent="0.35"/>
    <row r="2730" s="4" customFormat="1" x14ac:dyDescent="0.35"/>
    <row r="2731" s="4" customFormat="1" x14ac:dyDescent="0.35"/>
    <row r="2732" s="4" customFormat="1" x14ac:dyDescent="0.35"/>
    <row r="2733" s="4" customFormat="1" x14ac:dyDescent="0.35"/>
    <row r="2734" s="4" customFormat="1" x14ac:dyDescent="0.35"/>
    <row r="2735" s="4" customFormat="1" x14ac:dyDescent="0.35"/>
    <row r="2736" s="4" customFormat="1" x14ac:dyDescent="0.35"/>
    <row r="2737" s="4" customFormat="1" x14ac:dyDescent="0.35"/>
    <row r="2738" s="4" customFormat="1" x14ac:dyDescent="0.35"/>
    <row r="2739" s="4" customFormat="1" x14ac:dyDescent="0.35"/>
    <row r="2740" s="4" customFormat="1" x14ac:dyDescent="0.35"/>
    <row r="2741" s="4" customFormat="1" x14ac:dyDescent="0.35"/>
    <row r="2742" s="4" customFormat="1" x14ac:dyDescent="0.35"/>
    <row r="2743" s="4" customFormat="1" x14ac:dyDescent="0.35"/>
    <row r="2744" s="4" customFormat="1" x14ac:dyDescent="0.35"/>
    <row r="2745" s="4" customFormat="1" x14ac:dyDescent="0.35"/>
    <row r="2746" s="4" customFormat="1" x14ac:dyDescent="0.35"/>
    <row r="2747" s="4" customFormat="1" x14ac:dyDescent="0.35"/>
    <row r="2748" s="4" customFormat="1" x14ac:dyDescent="0.35"/>
    <row r="2749" s="4" customFormat="1" x14ac:dyDescent="0.35"/>
    <row r="2750" s="4" customFormat="1" x14ac:dyDescent="0.35"/>
    <row r="2751" s="4" customFormat="1" x14ac:dyDescent="0.35"/>
    <row r="2752" s="4" customFormat="1" x14ac:dyDescent="0.35"/>
    <row r="2753" s="4" customFormat="1" x14ac:dyDescent="0.35"/>
    <row r="2754" s="4" customFormat="1" x14ac:dyDescent="0.35"/>
    <row r="2755" s="4" customFormat="1" x14ac:dyDescent="0.35"/>
    <row r="2756" s="4" customFormat="1" x14ac:dyDescent="0.35"/>
    <row r="2757" s="4" customFormat="1" x14ac:dyDescent="0.35"/>
    <row r="2758" s="4" customFormat="1" x14ac:dyDescent="0.35"/>
    <row r="2759" s="4" customFormat="1" x14ac:dyDescent="0.35"/>
    <row r="2760" s="4" customFormat="1" x14ac:dyDescent="0.35"/>
    <row r="2761" s="4" customFormat="1" x14ac:dyDescent="0.35"/>
    <row r="2762" s="4" customFormat="1" x14ac:dyDescent="0.35"/>
    <row r="2763" s="4" customFormat="1" x14ac:dyDescent="0.35"/>
    <row r="2764" s="4" customFormat="1" x14ac:dyDescent="0.35"/>
    <row r="2765" s="4" customFormat="1" x14ac:dyDescent="0.35"/>
    <row r="2766" s="4" customFormat="1" x14ac:dyDescent="0.35"/>
    <row r="2767" s="4" customFormat="1" x14ac:dyDescent="0.35"/>
    <row r="2768" s="4" customFormat="1" x14ac:dyDescent="0.35"/>
    <row r="2769" s="4" customFormat="1" x14ac:dyDescent="0.35"/>
    <row r="2770" s="4" customFormat="1" x14ac:dyDescent="0.35"/>
    <row r="2771" s="4" customFormat="1" x14ac:dyDescent="0.35"/>
    <row r="2772" s="4" customFormat="1" x14ac:dyDescent="0.35"/>
    <row r="2773" s="4" customFormat="1" x14ac:dyDescent="0.35"/>
    <row r="2774" s="4" customFormat="1" x14ac:dyDescent="0.35"/>
    <row r="2775" s="4" customFormat="1" x14ac:dyDescent="0.35"/>
    <row r="2776" s="4" customFormat="1" x14ac:dyDescent="0.35"/>
    <row r="2777" s="4" customFormat="1" x14ac:dyDescent="0.35"/>
    <row r="2778" s="4" customFormat="1" x14ac:dyDescent="0.35"/>
    <row r="2779" s="4" customFormat="1" x14ac:dyDescent="0.35"/>
    <row r="2780" s="4" customFormat="1" x14ac:dyDescent="0.35"/>
    <row r="2781" s="4" customFormat="1" x14ac:dyDescent="0.35"/>
    <row r="2782" s="4" customFormat="1" x14ac:dyDescent="0.35"/>
    <row r="2783" s="4" customFormat="1" x14ac:dyDescent="0.35"/>
    <row r="2784" s="4" customFormat="1" x14ac:dyDescent="0.35"/>
    <row r="2785" s="4" customFormat="1" x14ac:dyDescent="0.35"/>
    <row r="2786" s="4" customFormat="1" x14ac:dyDescent="0.35"/>
    <row r="2787" s="4" customFormat="1" x14ac:dyDescent="0.35"/>
    <row r="2788" s="4" customFormat="1" x14ac:dyDescent="0.35"/>
    <row r="2789" s="4" customFormat="1" x14ac:dyDescent="0.35"/>
    <row r="2790" s="4" customFormat="1" x14ac:dyDescent="0.35"/>
    <row r="2791" s="4" customFormat="1" x14ac:dyDescent="0.35"/>
    <row r="2792" s="4" customFormat="1" x14ac:dyDescent="0.35"/>
    <row r="2793" s="4" customFormat="1" x14ac:dyDescent="0.35"/>
    <row r="2794" s="4" customFormat="1" x14ac:dyDescent="0.35"/>
    <row r="2795" s="4" customFormat="1" x14ac:dyDescent="0.35"/>
    <row r="2796" s="4" customFormat="1" x14ac:dyDescent="0.35"/>
    <row r="2797" s="4" customFormat="1" x14ac:dyDescent="0.35"/>
    <row r="2798" s="4" customFormat="1" x14ac:dyDescent="0.35"/>
    <row r="2799" s="4" customFormat="1" x14ac:dyDescent="0.35"/>
    <row r="2800" s="4" customFormat="1" x14ac:dyDescent="0.35"/>
    <row r="2801" s="4" customFormat="1" x14ac:dyDescent="0.35"/>
    <row r="2802" s="4" customFormat="1" x14ac:dyDescent="0.35"/>
    <row r="2803" s="4" customFormat="1" x14ac:dyDescent="0.35"/>
    <row r="2804" s="4" customFormat="1" x14ac:dyDescent="0.35"/>
    <row r="2805" s="4" customFormat="1" x14ac:dyDescent="0.35"/>
    <row r="2806" s="4" customFormat="1" x14ac:dyDescent="0.35"/>
    <row r="2807" s="4" customFormat="1" x14ac:dyDescent="0.35"/>
    <row r="2808" s="4" customFormat="1" x14ac:dyDescent="0.35"/>
    <row r="2809" s="4" customFormat="1" x14ac:dyDescent="0.35"/>
    <row r="2810" s="4" customFormat="1" x14ac:dyDescent="0.35"/>
    <row r="2811" s="4" customFormat="1" x14ac:dyDescent="0.35"/>
    <row r="2812" s="4" customFormat="1" x14ac:dyDescent="0.35"/>
    <row r="2813" s="4" customFormat="1" x14ac:dyDescent="0.35"/>
    <row r="2814" s="4" customFormat="1" x14ac:dyDescent="0.35"/>
    <row r="2815" s="4" customFormat="1" x14ac:dyDescent="0.35"/>
    <row r="2816" s="4" customFormat="1" x14ac:dyDescent="0.35"/>
    <row r="2817" s="4" customFormat="1" x14ac:dyDescent="0.35"/>
    <row r="2818" s="4" customFormat="1" x14ac:dyDescent="0.35"/>
    <row r="2819" s="4" customFormat="1" x14ac:dyDescent="0.35"/>
    <row r="2820" s="4" customFormat="1" x14ac:dyDescent="0.35"/>
    <row r="2821" s="4" customFormat="1" x14ac:dyDescent="0.35"/>
    <row r="2822" s="4" customFormat="1" x14ac:dyDescent="0.35"/>
    <row r="2823" s="4" customFormat="1" x14ac:dyDescent="0.35"/>
    <row r="2824" s="4" customFormat="1" x14ac:dyDescent="0.35"/>
    <row r="2825" s="4" customFormat="1" x14ac:dyDescent="0.35"/>
    <row r="2826" s="4" customFormat="1" x14ac:dyDescent="0.35"/>
    <row r="2827" s="4" customFormat="1" x14ac:dyDescent="0.35"/>
    <row r="2828" s="4" customFormat="1" x14ac:dyDescent="0.35"/>
    <row r="2829" s="4" customFormat="1" x14ac:dyDescent="0.35"/>
    <row r="2830" s="4" customFormat="1" x14ac:dyDescent="0.35"/>
    <row r="2831" s="4" customFormat="1" x14ac:dyDescent="0.35"/>
    <row r="2832" s="4" customFormat="1" x14ac:dyDescent="0.35"/>
    <row r="2833" s="4" customFormat="1" x14ac:dyDescent="0.35"/>
    <row r="2834" s="4" customFormat="1" x14ac:dyDescent="0.35"/>
    <row r="2835" s="4" customFormat="1" x14ac:dyDescent="0.35"/>
    <row r="2836" s="4" customFormat="1" x14ac:dyDescent="0.35"/>
    <row r="2837" s="4" customFormat="1" x14ac:dyDescent="0.35"/>
    <row r="2838" s="4" customFormat="1" x14ac:dyDescent="0.35"/>
    <row r="2839" s="4" customFormat="1" x14ac:dyDescent="0.35"/>
    <row r="2840" s="4" customFormat="1" x14ac:dyDescent="0.35"/>
    <row r="2841" s="4" customFormat="1" x14ac:dyDescent="0.35"/>
    <row r="2842" s="4" customFormat="1" x14ac:dyDescent="0.35"/>
    <row r="2843" s="4" customFormat="1" x14ac:dyDescent="0.35"/>
    <row r="2844" s="4" customFormat="1" x14ac:dyDescent="0.35"/>
    <row r="2845" s="4" customFormat="1" x14ac:dyDescent="0.35"/>
    <row r="2846" s="4" customFormat="1" x14ac:dyDescent="0.35"/>
    <row r="2847" s="4" customFormat="1" x14ac:dyDescent="0.35"/>
    <row r="2848" s="4" customFormat="1" x14ac:dyDescent="0.35"/>
    <row r="2849" s="4" customFormat="1" x14ac:dyDescent="0.35"/>
    <row r="2850" s="4" customFormat="1" x14ac:dyDescent="0.35"/>
    <row r="2851" s="4" customFormat="1" x14ac:dyDescent="0.35"/>
    <row r="2852" s="4" customFormat="1" x14ac:dyDescent="0.35"/>
    <row r="2853" s="4" customFormat="1" x14ac:dyDescent="0.35"/>
    <row r="2854" s="4" customFormat="1" x14ac:dyDescent="0.35"/>
    <row r="2855" s="4" customFormat="1" x14ac:dyDescent="0.35"/>
    <row r="2856" s="4" customFormat="1" x14ac:dyDescent="0.35"/>
    <row r="2857" s="4" customFormat="1" x14ac:dyDescent="0.35"/>
    <row r="2858" s="4" customFormat="1" x14ac:dyDescent="0.35"/>
    <row r="2859" s="4" customFormat="1" x14ac:dyDescent="0.35"/>
    <row r="2860" s="4" customFormat="1" x14ac:dyDescent="0.35"/>
    <row r="2861" s="4" customFormat="1" x14ac:dyDescent="0.35"/>
    <row r="2862" s="4" customFormat="1" x14ac:dyDescent="0.35"/>
    <row r="2863" s="4" customFormat="1" x14ac:dyDescent="0.35"/>
    <row r="2864" s="4" customFormat="1" x14ac:dyDescent="0.35"/>
    <row r="2865" s="4" customFormat="1" x14ac:dyDescent="0.35"/>
    <row r="2866" s="4" customFormat="1" x14ac:dyDescent="0.35"/>
    <row r="2867" s="4" customFormat="1" x14ac:dyDescent="0.35"/>
    <row r="2868" s="4" customFormat="1" x14ac:dyDescent="0.35"/>
    <row r="2869" s="4" customFormat="1" x14ac:dyDescent="0.35"/>
    <row r="2870" s="4" customFormat="1" x14ac:dyDescent="0.35"/>
    <row r="2871" s="4" customFormat="1" x14ac:dyDescent="0.35"/>
    <row r="2872" s="4" customFormat="1" x14ac:dyDescent="0.35"/>
    <row r="2873" s="4" customFormat="1" x14ac:dyDescent="0.35"/>
    <row r="2874" s="4" customFormat="1" x14ac:dyDescent="0.35"/>
    <row r="2875" s="4" customFormat="1" x14ac:dyDescent="0.35"/>
    <row r="2876" s="4" customFormat="1" x14ac:dyDescent="0.35"/>
    <row r="2877" s="4" customFormat="1" x14ac:dyDescent="0.35"/>
    <row r="2878" s="4" customFormat="1" x14ac:dyDescent="0.35"/>
    <row r="2879" s="4" customFormat="1" x14ac:dyDescent="0.35"/>
    <row r="2880" s="4" customFormat="1" x14ac:dyDescent="0.35"/>
    <row r="2881" s="4" customFormat="1" x14ac:dyDescent="0.35"/>
    <row r="2882" s="4" customFormat="1" x14ac:dyDescent="0.35"/>
    <row r="2883" s="4" customFormat="1" x14ac:dyDescent="0.35"/>
    <row r="2884" s="4" customFormat="1" x14ac:dyDescent="0.35"/>
    <row r="2885" s="4" customFormat="1" x14ac:dyDescent="0.35"/>
    <row r="2886" s="4" customFormat="1" x14ac:dyDescent="0.35"/>
    <row r="2887" s="4" customFormat="1" x14ac:dyDescent="0.35"/>
    <row r="2888" s="4" customFormat="1" x14ac:dyDescent="0.35"/>
    <row r="2889" s="4" customFormat="1" x14ac:dyDescent="0.35"/>
    <row r="2890" s="4" customFormat="1" x14ac:dyDescent="0.35"/>
    <row r="2891" s="4" customFormat="1" x14ac:dyDescent="0.35"/>
    <row r="2892" s="4" customFormat="1" x14ac:dyDescent="0.35"/>
    <row r="2893" s="4" customFormat="1" x14ac:dyDescent="0.35"/>
    <row r="2894" s="4" customFormat="1" x14ac:dyDescent="0.35"/>
    <row r="2895" s="4" customFormat="1" x14ac:dyDescent="0.35"/>
    <row r="2896" s="4" customFormat="1" x14ac:dyDescent="0.35"/>
    <row r="2897" s="4" customFormat="1" x14ac:dyDescent="0.35"/>
    <row r="2898" s="4" customFormat="1" x14ac:dyDescent="0.35"/>
    <row r="2899" s="4" customFormat="1" x14ac:dyDescent="0.35"/>
    <row r="2900" s="4" customFormat="1" x14ac:dyDescent="0.35"/>
    <row r="2901" s="4" customFormat="1" x14ac:dyDescent="0.35"/>
    <row r="2902" s="4" customFormat="1" x14ac:dyDescent="0.35"/>
    <row r="2903" s="4" customFormat="1" x14ac:dyDescent="0.35"/>
    <row r="2904" s="4" customFormat="1" x14ac:dyDescent="0.35"/>
    <row r="2905" s="4" customFormat="1" x14ac:dyDescent="0.35"/>
    <row r="2906" s="4" customFormat="1" x14ac:dyDescent="0.35"/>
    <row r="2907" s="4" customFormat="1" x14ac:dyDescent="0.35"/>
    <row r="2908" s="4" customFormat="1" x14ac:dyDescent="0.35"/>
    <row r="2909" s="4" customFormat="1" x14ac:dyDescent="0.35"/>
    <row r="2910" s="4" customFormat="1" x14ac:dyDescent="0.35"/>
    <row r="2911" s="4" customFormat="1" x14ac:dyDescent="0.35"/>
    <row r="2912" s="4" customFormat="1" x14ac:dyDescent="0.35"/>
    <row r="2913" s="4" customFormat="1" x14ac:dyDescent="0.35"/>
    <row r="2914" s="4" customFormat="1" x14ac:dyDescent="0.35"/>
    <row r="2915" s="4" customFormat="1" x14ac:dyDescent="0.35"/>
    <row r="2916" s="4" customFormat="1" x14ac:dyDescent="0.35"/>
    <row r="2917" s="4" customFormat="1" x14ac:dyDescent="0.35"/>
    <row r="2918" s="4" customFormat="1" x14ac:dyDescent="0.35"/>
    <row r="2919" s="4" customFormat="1" x14ac:dyDescent="0.35"/>
    <row r="2920" s="4" customFormat="1" x14ac:dyDescent="0.35"/>
    <row r="2921" s="4" customFormat="1" x14ac:dyDescent="0.35"/>
    <row r="2922" s="4" customFormat="1" x14ac:dyDescent="0.35"/>
    <row r="2923" s="4" customFormat="1" x14ac:dyDescent="0.35"/>
    <row r="2924" s="4" customFormat="1" x14ac:dyDescent="0.35"/>
    <row r="2925" s="4" customFormat="1" x14ac:dyDescent="0.35"/>
    <row r="2926" s="4" customFormat="1" x14ac:dyDescent="0.35"/>
    <row r="2927" s="4" customFormat="1" x14ac:dyDescent="0.35"/>
    <row r="2928" s="4" customFormat="1" x14ac:dyDescent="0.35"/>
    <row r="2929" s="4" customFormat="1" x14ac:dyDescent="0.35"/>
    <row r="2930" s="4" customFormat="1" x14ac:dyDescent="0.35"/>
    <row r="2931" s="4" customFormat="1" x14ac:dyDescent="0.35"/>
    <row r="2932" s="4" customFormat="1" x14ac:dyDescent="0.35"/>
    <row r="2933" s="4" customFormat="1" x14ac:dyDescent="0.35"/>
    <row r="2934" s="4" customFormat="1" x14ac:dyDescent="0.35"/>
    <row r="2935" s="4" customFormat="1" x14ac:dyDescent="0.35"/>
    <row r="2936" s="4" customFormat="1" x14ac:dyDescent="0.35"/>
    <row r="2937" s="4" customFormat="1" x14ac:dyDescent="0.35"/>
    <row r="2938" s="4" customFormat="1" x14ac:dyDescent="0.35"/>
    <row r="2939" s="4" customFormat="1" x14ac:dyDescent="0.35"/>
    <row r="2940" s="4" customFormat="1" x14ac:dyDescent="0.35"/>
    <row r="2941" s="4" customFormat="1" x14ac:dyDescent="0.35"/>
    <row r="2942" s="4" customFormat="1" x14ac:dyDescent="0.35"/>
    <row r="2943" s="4" customFormat="1" x14ac:dyDescent="0.35"/>
    <row r="2944" s="4" customFormat="1" x14ac:dyDescent="0.35"/>
    <row r="2945" s="4" customFormat="1" x14ac:dyDescent="0.35"/>
    <row r="2946" s="4" customFormat="1" x14ac:dyDescent="0.35"/>
    <row r="2947" s="4" customFormat="1" x14ac:dyDescent="0.35"/>
    <row r="2948" s="4" customFormat="1" x14ac:dyDescent="0.35"/>
    <row r="2949" s="4" customFormat="1" x14ac:dyDescent="0.35"/>
    <row r="2950" s="4" customFormat="1" x14ac:dyDescent="0.35"/>
    <row r="2951" s="4" customFormat="1" x14ac:dyDescent="0.35"/>
    <row r="2952" s="4" customFormat="1" x14ac:dyDescent="0.35"/>
    <row r="2953" s="4" customFormat="1" x14ac:dyDescent="0.35"/>
    <row r="2954" s="4" customFormat="1" x14ac:dyDescent="0.35"/>
    <row r="2955" s="4" customFormat="1" x14ac:dyDescent="0.35"/>
    <row r="2956" s="4" customFormat="1" x14ac:dyDescent="0.35"/>
    <row r="2957" s="4" customFormat="1" x14ac:dyDescent="0.35"/>
    <row r="2958" s="4" customFormat="1" x14ac:dyDescent="0.35"/>
    <row r="2959" s="4" customFormat="1" x14ac:dyDescent="0.35"/>
    <row r="2960" s="4" customFormat="1" x14ac:dyDescent="0.35"/>
    <row r="2961" s="4" customFormat="1" x14ac:dyDescent="0.35"/>
    <row r="2962" s="4" customFormat="1" x14ac:dyDescent="0.35"/>
    <row r="2963" s="4" customFormat="1" x14ac:dyDescent="0.35"/>
    <row r="2964" s="4" customFormat="1" x14ac:dyDescent="0.35"/>
    <row r="2965" s="4" customFormat="1" x14ac:dyDescent="0.35"/>
    <row r="2966" s="4" customFormat="1" x14ac:dyDescent="0.35"/>
    <row r="2967" s="4" customFormat="1" x14ac:dyDescent="0.35"/>
    <row r="2968" s="4" customFormat="1" x14ac:dyDescent="0.35"/>
    <row r="2969" s="4" customFormat="1" x14ac:dyDescent="0.35"/>
    <row r="2970" s="4" customFormat="1" x14ac:dyDescent="0.35"/>
    <row r="2971" s="4" customFormat="1" x14ac:dyDescent="0.35"/>
    <row r="2972" s="4" customFormat="1" x14ac:dyDescent="0.35"/>
    <row r="2973" s="4" customFormat="1" x14ac:dyDescent="0.35"/>
    <row r="2974" s="4" customFormat="1" x14ac:dyDescent="0.35"/>
    <row r="2975" s="4" customFormat="1" x14ac:dyDescent="0.35"/>
    <row r="2976" s="4" customFormat="1" x14ac:dyDescent="0.35"/>
    <row r="2977" s="4" customFormat="1" x14ac:dyDescent="0.35"/>
    <row r="2978" s="4" customFormat="1" x14ac:dyDescent="0.35"/>
    <row r="2979" s="4" customFormat="1" x14ac:dyDescent="0.35"/>
    <row r="2980" s="4" customFormat="1" x14ac:dyDescent="0.35"/>
    <row r="2981" s="4" customFormat="1" x14ac:dyDescent="0.35"/>
    <row r="2982" s="4" customFormat="1" x14ac:dyDescent="0.35"/>
    <row r="2983" s="4" customFormat="1" x14ac:dyDescent="0.35"/>
    <row r="2984" s="4" customFormat="1" x14ac:dyDescent="0.35"/>
    <row r="2985" s="4" customFormat="1" x14ac:dyDescent="0.35"/>
    <row r="2986" s="4" customFormat="1" x14ac:dyDescent="0.35"/>
    <row r="2987" s="4" customFormat="1" x14ac:dyDescent="0.35"/>
    <row r="2988" s="4" customFormat="1" x14ac:dyDescent="0.35"/>
    <row r="2989" s="4" customFormat="1" x14ac:dyDescent="0.35"/>
    <row r="2990" s="4" customFormat="1" x14ac:dyDescent="0.35"/>
    <row r="2991" s="4" customFormat="1" x14ac:dyDescent="0.35"/>
    <row r="2992" s="4" customFormat="1" x14ac:dyDescent="0.35"/>
    <row r="2993" s="4" customFormat="1" x14ac:dyDescent="0.35"/>
    <row r="2994" s="4" customFormat="1" x14ac:dyDescent="0.35"/>
    <row r="2995" s="4" customFormat="1" x14ac:dyDescent="0.35"/>
    <row r="2996" s="4" customFormat="1" x14ac:dyDescent="0.35"/>
    <row r="2997" s="4" customFormat="1" x14ac:dyDescent="0.35"/>
    <row r="2998" s="4" customFormat="1" x14ac:dyDescent="0.35"/>
    <row r="2999" s="4" customFormat="1" x14ac:dyDescent="0.35"/>
    <row r="3000" s="4" customFormat="1" x14ac:dyDescent="0.35"/>
    <row r="3001" s="4" customFormat="1" x14ac:dyDescent="0.35"/>
    <row r="3002" s="4" customFormat="1" x14ac:dyDescent="0.35"/>
    <row r="3003" s="4" customFormat="1" x14ac:dyDescent="0.35"/>
    <row r="3004" s="4" customFormat="1" x14ac:dyDescent="0.35"/>
    <row r="3005" s="4" customFormat="1" x14ac:dyDescent="0.35"/>
    <row r="3006" s="4" customFormat="1" x14ac:dyDescent="0.35"/>
    <row r="3007" s="4" customFormat="1" x14ac:dyDescent="0.35"/>
    <row r="3008" s="4" customFormat="1" x14ac:dyDescent="0.35"/>
    <row r="3009" s="4" customFormat="1" x14ac:dyDescent="0.35"/>
    <row r="3010" s="4" customFormat="1" x14ac:dyDescent="0.35"/>
    <row r="3011" s="4" customFormat="1" x14ac:dyDescent="0.35"/>
    <row r="3012" s="4" customFormat="1" x14ac:dyDescent="0.35"/>
    <row r="3013" s="4" customFormat="1" x14ac:dyDescent="0.35"/>
    <row r="3014" s="4" customFormat="1" x14ac:dyDescent="0.35"/>
    <row r="3015" s="4" customFormat="1" x14ac:dyDescent="0.35"/>
    <row r="3016" s="4" customFormat="1" x14ac:dyDescent="0.35"/>
    <row r="3017" s="4" customFormat="1" x14ac:dyDescent="0.35"/>
    <row r="3018" s="4" customFormat="1" x14ac:dyDescent="0.35"/>
    <row r="3019" s="4" customFormat="1" x14ac:dyDescent="0.35"/>
    <row r="3020" s="4" customFormat="1" x14ac:dyDescent="0.35"/>
    <row r="3021" s="4" customFormat="1" x14ac:dyDescent="0.35"/>
    <row r="3022" s="4" customFormat="1" x14ac:dyDescent="0.35"/>
    <row r="3023" s="4" customFormat="1" x14ac:dyDescent="0.35"/>
    <row r="3024" s="4" customFormat="1" x14ac:dyDescent="0.35"/>
    <row r="3025" s="4" customFormat="1" x14ac:dyDescent="0.35"/>
    <row r="3026" s="4" customFormat="1" x14ac:dyDescent="0.35"/>
    <row r="3027" s="4" customFormat="1" x14ac:dyDescent="0.35"/>
    <row r="3028" s="4" customFormat="1" x14ac:dyDescent="0.35"/>
    <row r="3029" s="4" customFormat="1" x14ac:dyDescent="0.35"/>
    <row r="3030" s="4" customFormat="1" x14ac:dyDescent="0.35"/>
    <row r="3031" s="4" customFormat="1" x14ac:dyDescent="0.35"/>
    <row r="3032" s="4" customFormat="1" x14ac:dyDescent="0.35"/>
    <row r="3033" s="4" customFormat="1" x14ac:dyDescent="0.35"/>
    <row r="3034" s="4" customFormat="1" x14ac:dyDescent="0.35"/>
    <row r="3035" s="4" customFormat="1" x14ac:dyDescent="0.35"/>
    <row r="3036" s="4" customFormat="1" x14ac:dyDescent="0.35"/>
    <row r="3037" s="4" customFormat="1" x14ac:dyDescent="0.35"/>
    <row r="3038" s="4" customFormat="1" x14ac:dyDescent="0.35"/>
    <row r="3039" s="4" customFormat="1" x14ac:dyDescent="0.35"/>
    <row r="3040" s="4" customFormat="1" x14ac:dyDescent="0.35"/>
    <row r="3041" s="4" customFormat="1" x14ac:dyDescent="0.35"/>
    <row r="3042" s="4" customFormat="1" x14ac:dyDescent="0.35"/>
    <row r="3043" s="4" customFormat="1" x14ac:dyDescent="0.35"/>
    <row r="3044" s="4" customFormat="1" x14ac:dyDescent="0.35"/>
    <row r="3045" s="4" customFormat="1" x14ac:dyDescent="0.35"/>
    <row r="3046" s="4" customFormat="1" x14ac:dyDescent="0.35"/>
    <row r="3047" s="4" customFormat="1" x14ac:dyDescent="0.35"/>
    <row r="3048" s="4" customFormat="1" x14ac:dyDescent="0.35"/>
    <row r="3049" s="4" customFormat="1" x14ac:dyDescent="0.35"/>
    <row r="3050" s="4" customFormat="1" x14ac:dyDescent="0.35"/>
    <row r="3051" s="4" customFormat="1" x14ac:dyDescent="0.35"/>
    <row r="3052" s="4" customFormat="1" x14ac:dyDescent="0.35"/>
    <row r="3053" s="4" customFormat="1" x14ac:dyDescent="0.35"/>
    <row r="3054" s="4" customFormat="1" x14ac:dyDescent="0.35"/>
    <row r="3055" s="4" customFormat="1" x14ac:dyDescent="0.35"/>
    <row r="3056" s="4" customFormat="1" x14ac:dyDescent="0.35"/>
    <row r="3057" s="4" customFormat="1" x14ac:dyDescent="0.35"/>
    <row r="3058" s="4" customFormat="1" x14ac:dyDescent="0.35"/>
    <row r="3059" s="4" customFormat="1" x14ac:dyDescent="0.35"/>
    <row r="3060" s="4" customFormat="1" x14ac:dyDescent="0.35"/>
    <row r="3061" s="4" customFormat="1" x14ac:dyDescent="0.35"/>
    <row r="3062" s="4" customFormat="1" x14ac:dyDescent="0.35"/>
    <row r="3063" s="4" customFormat="1" x14ac:dyDescent="0.35"/>
    <row r="3064" s="4" customFormat="1" x14ac:dyDescent="0.35"/>
    <row r="3065" s="4" customFormat="1" x14ac:dyDescent="0.35"/>
    <row r="3066" s="4" customFormat="1" x14ac:dyDescent="0.35"/>
    <row r="3067" s="4" customFormat="1" x14ac:dyDescent="0.35"/>
    <row r="3068" s="4" customFormat="1" x14ac:dyDescent="0.35"/>
    <row r="3069" s="4" customFormat="1" x14ac:dyDescent="0.35"/>
    <row r="3070" s="4" customFormat="1" x14ac:dyDescent="0.35"/>
    <row r="3071" s="4" customFormat="1" x14ac:dyDescent="0.35"/>
    <row r="3072" s="4" customFormat="1" x14ac:dyDescent="0.35"/>
    <row r="3073" s="4" customFormat="1" x14ac:dyDescent="0.35"/>
    <row r="3074" s="4" customFormat="1" x14ac:dyDescent="0.35"/>
    <row r="3075" s="4" customFormat="1" x14ac:dyDescent="0.35"/>
    <row r="3076" s="4" customFormat="1" x14ac:dyDescent="0.35"/>
    <row r="3077" s="4" customFormat="1" x14ac:dyDescent="0.35"/>
    <row r="3078" s="4" customFormat="1" x14ac:dyDescent="0.35"/>
    <row r="3079" s="4" customFormat="1" x14ac:dyDescent="0.35"/>
    <row r="3080" s="4" customFormat="1" x14ac:dyDescent="0.35"/>
    <row r="3081" s="4" customFormat="1" x14ac:dyDescent="0.35"/>
    <row r="3082" s="4" customFormat="1" x14ac:dyDescent="0.35"/>
    <row r="3083" s="4" customFormat="1" x14ac:dyDescent="0.35"/>
    <row r="3084" s="4" customFormat="1" x14ac:dyDescent="0.35"/>
    <row r="3085" s="4" customFormat="1" x14ac:dyDescent="0.35"/>
    <row r="3086" s="4" customFormat="1" x14ac:dyDescent="0.35"/>
    <row r="3087" s="4" customFormat="1" x14ac:dyDescent="0.35"/>
    <row r="3088" s="4" customFormat="1" x14ac:dyDescent="0.35"/>
    <row r="3089" s="4" customFormat="1" x14ac:dyDescent="0.35"/>
    <row r="3090" s="4" customFormat="1" x14ac:dyDescent="0.35"/>
    <row r="3091" s="4" customFormat="1" x14ac:dyDescent="0.35"/>
    <row r="3092" s="4" customFormat="1" x14ac:dyDescent="0.35"/>
    <row r="3093" s="4" customFormat="1" x14ac:dyDescent="0.35"/>
    <row r="3094" s="4" customFormat="1" x14ac:dyDescent="0.35"/>
    <row r="3095" s="4" customFormat="1" x14ac:dyDescent="0.35"/>
    <row r="3096" s="4" customFormat="1" x14ac:dyDescent="0.35"/>
    <row r="3097" s="4" customFormat="1" x14ac:dyDescent="0.35"/>
    <row r="3098" s="4" customFormat="1" x14ac:dyDescent="0.35"/>
    <row r="3099" s="4" customFormat="1" x14ac:dyDescent="0.35"/>
    <row r="3100" s="4" customFormat="1" x14ac:dyDescent="0.35"/>
    <row r="3101" s="4" customFormat="1" x14ac:dyDescent="0.35"/>
    <row r="3102" s="4" customFormat="1" x14ac:dyDescent="0.35"/>
    <row r="3103" s="4" customFormat="1" x14ac:dyDescent="0.35"/>
    <row r="3104" s="4" customFormat="1" x14ac:dyDescent="0.35"/>
    <row r="3105" s="4" customFormat="1" x14ac:dyDescent="0.35"/>
    <row r="3106" s="4" customFormat="1" x14ac:dyDescent="0.35"/>
    <row r="3107" s="4" customFormat="1" x14ac:dyDescent="0.35"/>
    <row r="3108" s="4" customFormat="1" x14ac:dyDescent="0.35"/>
    <row r="3109" s="4" customFormat="1" x14ac:dyDescent="0.35"/>
    <row r="3110" s="4" customFormat="1" x14ac:dyDescent="0.35"/>
    <row r="3111" s="4" customFormat="1" x14ac:dyDescent="0.35"/>
    <row r="3112" s="4" customFormat="1" x14ac:dyDescent="0.35"/>
    <row r="3113" s="4" customFormat="1" x14ac:dyDescent="0.35"/>
    <row r="3114" s="4" customFormat="1" x14ac:dyDescent="0.35"/>
    <row r="3115" s="4" customFormat="1" x14ac:dyDescent="0.35"/>
    <row r="3116" s="4" customFormat="1" x14ac:dyDescent="0.35"/>
    <row r="3117" s="4" customFormat="1" x14ac:dyDescent="0.35"/>
    <row r="3118" s="4" customFormat="1" x14ac:dyDescent="0.35"/>
    <row r="3119" s="4" customFormat="1" x14ac:dyDescent="0.35"/>
    <row r="3120" s="4" customFormat="1" x14ac:dyDescent="0.35"/>
    <row r="3121" s="4" customFormat="1" x14ac:dyDescent="0.35"/>
    <row r="3122" s="4" customFormat="1" x14ac:dyDescent="0.35"/>
    <row r="3123" s="4" customFormat="1" x14ac:dyDescent="0.35"/>
    <row r="3124" s="4" customFormat="1" x14ac:dyDescent="0.35"/>
    <row r="3125" s="4" customFormat="1" x14ac:dyDescent="0.35"/>
    <row r="3126" s="4" customFormat="1" x14ac:dyDescent="0.35"/>
    <row r="3127" s="4" customFormat="1" x14ac:dyDescent="0.35"/>
    <row r="3128" s="4" customFormat="1" x14ac:dyDescent="0.35"/>
    <row r="3129" s="4" customFormat="1" x14ac:dyDescent="0.35"/>
    <row r="3130" s="4" customFormat="1" x14ac:dyDescent="0.35"/>
    <row r="3131" s="4" customFormat="1" x14ac:dyDescent="0.35"/>
    <row r="3132" s="4" customFormat="1" x14ac:dyDescent="0.35"/>
    <row r="3133" s="4" customFormat="1" x14ac:dyDescent="0.35"/>
    <row r="3134" s="4" customFormat="1" x14ac:dyDescent="0.35"/>
    <row r="3135" s="4" customFormat="1" x14ac:dyDescent="0.35"/>
    <row r="3136" s="4" customFormat="1" x14ac:dyDescent="0.35"/>
    <row r="3137" s="4" customFormat="1" x14ac:dyDescent="0.35"/>
    <row r="3138" s="4" customFormat="1" x14ac:dyDescent="0.35"/>
    <row r="3139" s="4" customFormat="1" x14ac:dyDescent="0.35"/>
    <row r="3140" s="4" customFormat="1" x14ac:dyDescent="0.35"/>
    <row r="3141" s="4" customFormat="1" x14ac:dyDescent="0.35"/>
    <row r="3142" s="4" customFormat="1" x14ac:dyDescent="0.35"/>
    <row r="3143" s="4" customFormat="1" x14ac:dyDescent="0.35"/>
    <row r="3144" s="4" customFormat="1" x14ac:dyDescent="0.35"/>
    <row r="3145" s="4" customFormat="1" x14ac:dyDescent="0.35"/>
    <row r="3146" s="4" customFormat="1" x14ac:dyDescent="0.35"/>
    <row r="3147" s="4" customFormat="1" x14ac:dyDescent="0.35"/>
    <row r="3148" s="4" customFormat="1" x14ac:dyDescent="0.35"/>
    <row r="3149" s="4" customFormat="1" x14ac:dyDescent="0.35"/>
    <row r="3150" s="4" customFormat="1" x14ac:dyDescent="0.35"/>
    <row r="3151" s="4" customFormat="1" x14ac:dyDescent="0.35"/>
    <row r="3152" s="4" customFormat="1" x14ac:dyDescent="0.35"/>
    <row r="3153" s="4" customFormat="1" x14ac:dyDescent="0.35"/>
    <row r="3154" s="4" customFormat="1" x14ac:dyDescent="0.35"/>
    <row r="3155" s="4" customFormat="1" x14ac:dyDescent="0.35"/>
    <row r="3156" s="4" customFormat="1" x14ac:dyDescent="0.35"/>
    <row r="3157" s="4" customFormat="1" x14ac:dyDescent="0.35"/>
    <row r="3158" s="4" customFormat="1" x14ac:dyDescent="0.35"/>
    <row r="3159" s="4" customFormat="1" x14ac:dyDescent="0.35"/>
    <row r="3160" s="4" customFormat="1" x14ac:dyDescent="0.35"/>
    <row r="3161" s="4" customFormat="1" x14ac:dyDescent="0.35"/>
    <row r="3162" s="4" customFormat="1" x14ac:dyDescent="0.35"/>
    <row r="3163" s="4" customFormat="1" x14ac:dyDescent="0.35"/>
    <row r="3164" s="4" customFormat="1" x14ac:dyDescent="0.35"/>
    <row r="3165" s="4" customFormat="1" x14ac:dyDescent="0.35"/>
    <row r="3166" s="4" customFormat="1" x14ac:dyDescent="0.35"/>
    <row r="3167" s="4" customFormat="1" x14ac:dyDescent="0.35"/>
    <row r="3168" s="4" customFormat="1" x14ac:dyDescent="0.35"/>
    <row r="3169" s="4" customFormat="1" x14ac:dyDescent="0.35"/>
    <row r="3170" s="4" customFormat="1" x14ac:dyDescent="0.35"/>
    <row r="3171" s="4" customFormat="1" x14ac:dyDescent="0.35"/>
    <row r="3172" s="4" customFormat="1" x14ac:dyDescent="0.35"/>
    <row r="3173" s="4" customFormat="1" x14ac:dyDescent="0.35"/>
    <row r="3174" s="4" customFormat="1" x14ac:dyDescent="0.35"/>
    <row r="3175" s="4" customFormat="1" x14ac:dyDescent="0.35"/>
    <row r="3176" s="4" customFormat="1" x14ac:dyDescent="0.35"/>
    <row r="3177" s="4" customFormat="1" x14ac:dyDescent="0.35"/>
    <row r="3178" s="4" customFormat="1" x14ac:dyDescent="0.35"/>
    <row r="3179" s="4" customFormat="1" x14ac:dyDescent="0.35"/>
    <row r="3180" s="4" customFormat="1" x14ac:dyDescent="0.35"/>
    <row r="3181" s="4" customFormat="1" x14ac:dyDescent="0.35"/>
    <row r="3182" s="4" customFormat="1" x14ac:dyDescent="0.35"/>
    <row r="3183" s="4" customFormat="1" x14ac:dyDescent="0.35"/>
    <row r="3184" s="4" customFormat="1" x14ac:dyDescent="0.35"/>
    <row r="3185" s="4" customFormat="1" x14ac:dyDescent="0.35"/>
    <row r="3186" s="4" customFormat="1" x14ac:dyDescent="0.35"/>
    <row r="3187" s="4" customFormat="1" x14ac:dyDescent="0.35"/>
    <row r="3188" s="4" customFormat="1" x14ac:dyDescent="0.35"/>
    <row r="3189" s="4" customFormat="1" x14ac:dyDescent="0.35"/>
    <row r="3190" s="4" customFormat="1" x14ac:dyDescent="0.35"/>
    <row r="3191" s="4" customFormat="1" x14ac:dyDescent="0.35"/>
    <row r="3192" s="4" customFormat="1" x14ac:dyDescent="0.35"/>
    <row r="3193" s="4" customFormat="1" x14ac:dyDescent="0.35"/>
    <row r="3194" s="4" customFormat="1" x14ac:dyDescent="0.35"/>
    <row r="3195" s="4" customFormat="1" x14ac:dyDescent="0.35"/>
    <row r="3196" s="4" customFormat="1" x14ac:dyDescent="0.35"/>
    <row r="3197" s="4" customFormat="1" x14ac:dyDescent="0.35"/>
    <row r="3198" s="4" customFormat="1" x14ac:dyDescent="0.35"/>
    <row r="3199" s="4" customFormat="1" x14ac:dyDescent="0.35"/>
    <row r="3200" s="4" customFormat="1" x14ac:dyDescent="0.35"/>
    <row r="3201" s="4" customFormat="1" x14ac:dyDescent="0.35"/>
    <row r="3202" s="4" customFormat="1" x14ac:dyDescent="0.35"/>
    <row r="3203" s="4" customFormat="1" x14ac:dyDescent="0.35"/>
    <row r="3204" s="4" customFormat="1" x14ac:dyDescent="0.35"/>
    <row r="3205" s="4" customFormat="1" x14ac:dyDescent="0.35"/>
    <row r="3206" s="4" customFormat="1" x14ac:dyDescent="0.35"/>
    <row r="3207" s="4" customFormat="1" x14ac:dyDescent="0.35"/>
    <row r="3208" s="4" customFormat="1" x14ac:dyDescent="0.35"/>
    <row r="3209" s="4" customFormat="1" x14ac:dyDescent="0.35"/>
    <row r="3210" s="4" customFormat="1" x14ac:dyDescent="0.35"/>
    <row r="3211" s="4" customFormat="1" x14ac:dyDescent="0.35"/>
    <row r="3212" s="4" customFormat="1" x14ac:dyDescent="0.35"/>
    <row r="3213" s="4" customFormat="1" x14ac:dyDescent="0.35"/>
    <row r="3214" s="4" customFormat="1" x14ac:dyDescent="0.35"/>
    <row r="3215" s="4" customFormat="1" x14ac:dyDescent="0.35"/>
    <row r="3216" s="4" customFormat="1" x14ac:dyDescent="0.35"/>
    <row r="3217" s="4" customFormat="1" x14ac:dyDescent="0.35"/>
    <row r="3218" s="4" customFormat="1" x14ac:dyDescent="0.35"/>
    <row r="3219" s="4" customFormat="1" x14ac:dyDescent="0.35"/>
    <row r="3220" s="4" customFormat="1" x14ac:dyDescent="0.35"/>
    <row r="3221" s="4" customFormat="1" x14ac:dyDescent="0.35"/>
    <row r="3222" s="4" customFormat="1" x14ac:dyDescent="0.35"/>
    <row r="3223" s="4" customFormat="1" x14ac:dyDescent="0.35"/>
    <row r="3224" s="4" customFormat="1" x14ac:dyDescent="0.35"/>
    <row r="3225" s="4" customFormat="1" x14ac:dyDescent="0.35"/>
    <row r="3226" s="4" customFormat="1" x14ac:dyDescent="0.35"/>
    <row r="3227" s="4" customFormat="1" x14ac:dyDescent="0.35"/>
    <row r="3228" s="4" customFormat="1" x14ac:dyDescent="0.35"/>
    <row r="3229" s="4" customFormat="1" x14ac:dyDescent="0.35"/>
    <row r="3230" s="4" customFormat="1" x14ac:dyDescent="0.35"/>
    <row r="3231" s="4" customFormat="1" x14ac:dyDescent="0.35"/>
    <row r="3232" s="4" customFormat="1" x14ac:dyDescent="0.35"/>
    <row r="3233" s="4" customFormat="1" x14ac:dyDescent="0.35"/>
    <row r="3234" s="4" customFormat="1" x14ac:dyDescent="0.35"/>
    <row r="3235" s="4" customFormat="1" x14ac:dyDescent="0.35"/>
    <row r="3236" s="4" customFormat="1" x14ac:dyDescent="0.35"/>
    <row r="3237" s="4" customFormat="1" x14ac:dyDescent="0.35"/>
    <row r="3238" s="4" customFormat="1" x14ac:dyDescent="0.35"/>
    <row r="3239" s="4" customFormat="1" x14ac:dyDescent="0.35"/>
    <row r="3240" s="4" customFormat="1" x14ac:dyDescent="0.35"/>
    <row r="3241" s="4" customFormat="1" x14ac:dyDescent="0.35"/>
    <row r="3242" s="4" customFormat="1" x14ac:dyDescent="0.35"/>
    <row r="3243" s="4" customFormat="1" x14ac:dyDescent="0.35"/>
    <row r="3244" s="4" customFormat="1" x14ac:dyDescent="0.35"/>
    <row r="3245" s="4" customFormat="1" x14ac:dyDescent="0.35"/>
    <row r="3246" s="4" customFormat="1" x14ac:dyDescent="0.35"/>
    <row r="3247" s="4" customFormat="1" x14ac:dyDescent="0.35"/>
    <row r="3248" s="4" customFormat="1" x14ac:dyDescent="0.35"/>
    <row r="3249" s="4" customFormat="1" x14ac:dyDescent="0.35"/>
    <row r="3250" s="4" customFormat="1" x14ac:dyDescent="0.35"/>
    <row r="3251" s="4" customFormat="1" x14ac:dyDescent="0.35"/>
  </sheetData>
  <mergeCells count="18">
    <mergeCell ref="DL1:DM1"/>
    <mergeCell ref="J1:L1"/>
    <mergeCell ref="M1:O1"/>
    <mergeCell ref="R1:W1"/>
    <mergeCell ref="CQ1:CS1"/>
    <mergeCell ref="CZ1:DA1"/>
    <mergeCell ref="BH1:BI1"/>
    <mergeCell ref="BQ1:BU1"/>
    <mergeCell ref="CA1:CB1"/>
    <mergeCell ref="AQ1:AS1"/>
    <mergeCell ref="AU1:AV1"/>
    <mergeCell ref="BA1:BD1"/>
    <mergeCell ref="BJ1:BN1"/>
    <mergeCell ref="Z1:AA1"/>
    <mergeCell ref="AE1:AI1"/>
    <mergeCell ref="AL1:AM1"/>
    <mergeCell ref="AW1:AY1"/>
    <mergeCell ref="DJ1:DK1"/>
  </mergeCells>
  <hyperlinks>
    <hyperlink ref="G6" r:id="rId1" xr:uid="{9E869DDF-02F9-47AA-B572-2A3809E0AAFE}"/>
    <hyperlink ref="G7" r:id="rId2" xr:uid="{618FE064-7F50-4966-A09A-8B957892694D}"/>
    <hyperlink ref="G8" r:id="rId3" xr:uid="{6A72D164-C879-4006-9B4D-EF9A9C3FE119}"/>
    <hyperlink ref="G9" r:id="rId4" xr:uid="{0774399D-41FB-4797-A022-ACF3B245226D}"/>
    <hyperlink ref="G10" r:id="rId5" xr:uid="{75371A50-A174-4EF7-964D-F395C80E46DC}"/>
    <hyperlink ref="G11" r:id="rId6" xr:uid="{73042884-E9D5-4D47-BC35-C8FB0D739FBB}"/>
    <hyperlink ref="G12" r:id="rId7" xr:uid="{DDF9BC7F-68DA-446C-BDC3-7128B76AFFAC}"/>
    <hyperlink ref="G13" r:id="rId8" xr:uid="{36FA57CF-4B3E-4F7F-8B28-D0463224F8C5}"/>
  </hyperlinks>
  <pageMargins left="0.7" right="0.7" top="0.75" bottom="0.75" header="0.3" footer="0.3"/>
  <pageSetup orientation="portrait" r:id="rId9"/>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E04BF-8590-41E7-A3B0-D2956177AA46}">
  <sheetPr>
    <tabColor theme="6" tint="0.59999389629810485"/>
  </sheetPr>
  <dimension ref="B1:AB113"/>
  <sheetViews>
    <sheetView zoomScale="58" zoomScaleNormal="90" workbookViewId="0">
      <selection activeCell="R130" sqref="R130"/>
    </sheetView>
  </sheetViews>
  <sheetFormatPr defaultRowHeight="14.5" x14ac:dyDescent="0.35"/>
  <cols>
    <col min="10" max="10" width="7" customWidth="1"/>
    <col min="19" max="19" width="10.453125" customWidth="1"/>
    <col min="27" max="27" width="47.54296875" customWidth="1"/>
    <col min="28" max="28" width="52.1796875" customWidth="1"/>
  </cols>
  <sheetData>
    <row r="1" spans="2:28" ht="15" thickBot="1" x14ac:dyDescent="0.4"/>
    <row r="2" spans="2:28" ht="19" thickBot="1" x14ac:dyDescent="0.5">
      <c r="K2" s="84" t="s">
        <v>591</v>
      </c>
      <c r="L2" s="81"/>
      <c r="M2" s="82"/>
      <c r="N2" s="82"/>
      <c r="O2" s="82"/>
      <c r="P2" s="82"/>
      <c r="Q2" s="82"/>
      <c r="R2" s="82"/>
      <c r="S2" s="83"/>
    </row>
    <row r="3" spans="2:28" ht="15" thickBot="1" x14ac:dyDescent="0.4"/>
    <row r="4" spans="2:28" ht="16" thickBot="1" x14ac:dyDescent="0.4">
      <c r="B4" s="53"/>
      <c r="C4" s="54"/>
      <c r="D4" s="54"/>
      <c r="E4" s="54"/>
      <c r="F4" s="54"/>
      <c r="G4" s="54"/>
      <c r="H4" s="54"/>
      <c r="I4" s="54"/>
      <c r="J4" s="54"/>
      <c r="K4" s="54"/>
      <c r="L4" s="54"/>
      <c r="M4" s="54"/>
      <c r="N4" s="54"/>
      <c r="O4" s="54"/>
      <c r="P4" s="54"/>
      <c r="Q4" s="54"/>
      <c r="R4" s="54"/>
      <c r="S4" s="54"/>
      <c r="T4" s="54"/>
      <c r="U4" s="54"/>
      <c r="V4" s="54"/>
      <c r="W4" s="54"/>
      <c r="X4" s="54"/>
      <c r="Y4" s="55"/>
      <c r="AA4" s="61" t="s">
        <v>592</v>
      </c>
      <c r="AB4" s="62"/>
    </row>
    <row r="5" spans="2:28" ht="15" thickBot="1" x14ac:dyDescent="0.4">
      <c r="B5" s="85" t="s">
        <v>593</v>
      </c>
      <c r="C5" s="52"/>
      <c r="D5" s="52"/>
      <c r="E5" s="52"/>
      <c r="F5" s="52"/>
      <c r="G5" s="52"/>
      <c r="H5" s="52"/>
      <c r="I5" s="52"/>
      <c r="J5" s="52"/>
      <c r="K5" s="52"/>
      <c r="L5" s="52"/>
      <c r="M5" s="52"/>
      <c r="N5" s="85" t="s">
        <v>594</v>
      </c>
      <c r="O5" s="52"/>
      <c r="P5" s="52"/>
      <c r="Q5" s="52"/>
      <c r="R5" s="52"/>
      <c r="S5" s="52"/>
      <c r="T5" s="52"/>
      <c r="U5" s="52"/>
      <c r="V5" s="52"/>
      <c r="W5" s="52"/>
      <c r="X5" s="52"/>
      <c r="Y5" s="57"/>
      <c r="AA5" s="63"/>
      <c r="AB5" s="64"/>
    </row>
    <row r="6" spans="2:28" x14ac:dyDescent="0.35">
      <c r="B6" s="56"/>
      <c r="C6" s="52"/>
      <c r="D6" s="52"/>
      <c r="E6" s="52"/>
      <c r="F6" s="52"/>
      <c r="G6" s="52"/>
      <c r="H6" s="52"/>
      <c r="I6" s="52"/>
      <c r="J6" s="52"/>
      <c r="K6" s="52"/>
      <c r="L6" s="52"/>
      <c r="M6" s="52"/>
      <c r="N6" s="52"/>
      <c r="O6" s="52"/>
      <c r="P6" s="52"/>
      <c r="Q6" s="52"/>
      <c r="R6" s="52"/>
      <c r="S6" s="52"/>
      <c r="T6" s="52"/>
      <c r="U6" s="52"/>
      <c r="V6" s="52"/>
      <c r="W6" s="52"/>
      <c r="X6" s="52"/>
      <c r="Y6" s="57"/>
      <c r="AA6" s="65"/>
      <c r="AB6" s="66"/>
    </row>
    <row r="7" spans="2:28" x14ac:dyDescent="0.35">
      <c r="B7" s="56"/>
      <c r="C7" s="52"/>
      <c r="D7" s="52"/>
      <c r="E7" s="52"/>
      <c r="F7" s="52"/>
      <c r="G7" s="52"/>
      <c r="H7" s="52"/>
      <c r="I7" s="52"/>
      <c r="J7" s="52"/>
      <c r="K7" s="52"/>
      <c r="L7" s="52"/>
      <c r="M7" s="52"/>
      <c r="N7" s="52"/>
      <c r="O7" s="52"/>
      <c r="P7" s="52"/>
      <c r="Q7" s="52"/>
      <c r="R7" s="52"/>
      <c r="S7" s="52"/>
      <c r="T7" s="52"/>
      <c r="U7" s="52"/>
      <c r="V7" s="52"/>
      <c r="W7" s="52"/>
      <c r="X7" s="52"/>
      <c r="Y7" s="57"/>
      <c r="AA7" s="67" t="s">
        <v>595</v>
      </c>
      <c r="AB7" s="68"/>
    </row>
    <row r="8" spans="2:28" x14ac:dyDescent="0.35">
      <c r="B8" s="56"/>
      <c r="C8" s="52"/>
      <c r="D8" s="52"/>
      <c r="E8" s="52"/>
      <c r="F8" s="52"/>
      <c r="G8" s="52"/>
      <c r="H8" s="52"/>
      <c r="I8" s="52"/>
      <c r="J8" s="52"/>
      <c r="K8" s="52"/>
      <c r="L8" s="52"/>
      <c r="M8" s="52"/>
      <c r="N8" s="52"/>
      <c r="O8" s="52"/>
      <c r="P8" s="52"/>
      <c r="Q8" s="52"/>
      <c r="R8" s="52"/>
      <c r="S8" s="52"/>
      <c r="T8" s="52"/>
      <c r="U8" s="52"/>
      <c r="V8" s="52"/>
      <c r="W8" s="52"/>
      <c r="X8" s="52"/>
      <c r="Y8" s="57"/>
      <c r="AA8" s="69">
        <v>1</v>
      </c>
      <c r="AB8" s="70" t="s">
        <v>596</v>
      </c>
    </row>
    <row r="9" spans="2:28" ht="29" x14ac:dyDescent="0.35">
      <c r="B9" s="56"/>
      <c r="C9" s="52"/>
      <c r="D9" s="52"/>
      <c r="E9" s="52"/>
      <c r="F9" s="52"/>
      <c r="G9" s="52"/>
      <c r="H9" s="52"/>
      <c r="I9" s="52"/>
      <c r="J9" s="52"/>
      <c r="K9" s="52"/>
      <c r="L9" s="52"/>
      <c r="M9" s="52"/>
      <c r="N9" s="52"/>
      <c r="O9" s="52"/>
      <c r="P9" s="52"/>
      <c r="Q9" s="52"/>
      <c r="R9" s="52"/>
      <c r="S9" s="52"/>
      <c r="T9" s="52"/>
      <c r="U9" s="52"/>
      <c r="V9" s="52"/>
      <c r="W9" s="52"/>
      <c r="X9" s="52"/>
      <c r="Y9" s="57"/>
      <c r="AA9" s="71">
        <v>2</v>
      </c>
      <c r="AB9" s="70" t="s">
        <v>597</v>
      </c>
    </row>
    <row r="10" spans="2:28" x14ac:dyDescent="0.35">
      <c r="B10" s="56"/>
      <c r="C10" s="52"/>
      <c r="D10" s="52"/>
      <c r="E10" s="52"/>
      <c r="F10" s="52"/>
      <c r="G10" s="52"/>
      <c r="H10" s="52"/>
      <c r="I10" s="52"/>
      <c r="J10" s="52"/>
      <c r="K10" s="52"/>
      <c r="L10" s="52"/>
      <c r="M10" s="52"/>
      <c r="N10" s="52"/>
      <c r="O10" s="52"/>
      <c r="P10" s="52"/>
      <c r="Q10" s="52"/>
      <c r="R10" s="52"/>
      <c r="S10" s="52"/>
      <c r="T10" s="52"/>
      <c r="U10" s="52"/>
      <c r="V10" s="52"/>
      <c r="W10" s="52"/>
      <c r="X10" s="52"/>
      <c r="Y10" s="57"/>
      <c r="AA10" s="71">
        <v>3</v>
      </c>
      <c r="AB10" s="70" t="s">
        <v>598</v>
      </c>
    </row>
    <row r="11" spans="2:28" x14ac:dyDescent="0.35">
      <c r="B11" s="56"/>
      <c r="C11" s="52"/>
      <c r="D11" s="52"/>
      <c r="E11" s="52"/>
      <c r="F11" s="52"/>
      <c r="G11" s="52"/>
      <c r="H11" s="52"/>
      <c r="I11" s="52"/>
      <c r="J11" s="52"/>
      <c r="K11" s="52"/>
      <c r="L11" s="52"/>
      <c r="M11" s="52"/>
      <c r="N11" s="52"/>
      <c r="O11" s="52"/>
      <c r="P11" s="52"/>
      <c r="Q11" s="52"/>
      <c r="R11" s="52"/>
      <c r="S11" s="52"/>
      <c r="T11" s="52"/>
      <c r="U11" s="52"/>
      <c r="V11" s="52"/>
      <c r="W11" s="52"/>
      <c r="X11" s="52"/>
      <c r="Y11" s="57"/>
      <c r="AA11" s="71">
        <v>4</v>
      </c>
      <c r="AB11" s="70" t="s">
        <v>599</v>
      </c>
    </row>
    <row r="12" spans="2:28" x14ac:dyDescent="0.35">
      <c r="B12" s="56"/>
      <c r="C12" s="52"/>
      <c r="D12" s="52"/>
      <c r="E12" s="52"/>
      <c r="F12" s="52"/>
      <c r="G12" s="52"/>
      <c r="H12" s="52"/>
      <c r="I12" s="52"/>
      <c r="J12" s="52"/>
      <c r="K12" s="52"/>
      <c r="L12" s="52"/>
      <c r="M12" s="52"/>
      <c r="N12" s="52"/>
      <c r="O12" s="52"/>
      <c r="P12" s="52"/>
      <c r="Q12" s="52"/>
      <c r="R12" s="52"/>
      <c r="S12" s="52"/>
      <c r="T12" s="52"/>
      <c r="U12" s="52"/>
      <c r="V12" s="52"/>
      <c r="W12" s="52"/>
      <c r="X12" s="52"/>
      <c r="Y12" s="57"/>
      <c r="AA12" s="71">
        <v>5</v>
      </c>
      <c r="AB12" s="70" t="s">
        <v>600</v>
      </c>
    </row>
    <row r="13" spans="2:28" x14ac:dyDescent="0.35">
      <c r="B13" s="56"/>
      <c r="C13" s="52"/>
      <c r="D13" s="52"/>
      <c r="E13" s="52"/>
      <c r="F13" s="52"/>
      <c r="G13" s="52"/>
      <c r="H13" s="52"/>
      <c r="I13" s="52"/>
      <c r="J13" s="52"/>
      <c r="K13" s="52"/>
      <c r="L13" s="52"/>
      <c r="M13" s="52"/>
      <c r="N13" s="52"/>
      <c r="O13" s="52"/>
      <c r="P13" s="52"/>
      <c r="Q13" s="52"/>
      <c r="R13" s="52"/>
      <c r="S13" s="52"/>
      <c r="T13" s="52"/>
      <c r="U13" s="52"/>
      <c r="V13" s="52"/>
      <c r="W13" s="52"/>
      <c r="X13" s="52"/>
      <c r="Y13" s="57"/>
      <c r="AA13" s="72"/>
      <c r="AB13" s="66"/>
    </row>
    <row r="14" spans="2:28" x14ac:dyDescent="0.35">
      <c r="B14" s="56"/>
      <c r="C14" s="52"/>
      <c r="D14" s="52"/>
      <c r="E14" s="52"/>
      <c r="F14" s="52"/>
      <c r="G14" s="52"/>
      <c r="H14" s="52"/>
      <c r="I14" s="52"/>
      <c r="J14" s="52"/>
      <c r="K14" s="52"/>
      <c r="L14" s="52"/>
      <c r="M14" s="52"/>
      <c r="N14" s="52"/>
      <c r="O14" s="52"/>
      <c r="P14" s="52"/>
      <c r="Q14" s="52"/>
      <c r="R14" s="52"/>
      <c r="S14" s="52"/>
      <c r="T14" s="52"/>
      <c r="U14" s="52"/>
      <c r="V14" s="52"/>
      <c r="W14" s="52"/>
      <c r="X14" s="52"/>
      <c r="Y14" s="57"/>
      <c r="AA14" s="67" t="s">
        <v>601</v>
      </c>
      <c r="AB14" s="68"/>
    </row>
    <row r="15" spans="2:28" x14ac:dyDescent="0.35">
      <c r="B15" s="56"/>
      <c r="C15" s="52"/>
      <c r="D15" s="52"/>
      <c r="E15" s="52"/>
      <c r="F15" s="52"/>
      <c r="G15" s="52"/>
      <c r="H15" s="52"/>
      <c r="I15" s="52"/>
      <c r="J15" s="52"/>
      <c r="K15" s="52"/>
      <c r="L15" s="52"/>
      <c r="M15" s="52"/>
      <c r="N15" s="52"/>
      <c r="O15" s="52"/>
      <c r="P15" s="52"/>
      <c r="Q15" s="52"/>
      <c r="R15" s="52"/>
      <c r="S15" s="52"/>
      <c r="T15" s="52"/>
      <c r="U15" s="52"/>
      <c r="V15" s="52"/>
      <c r="W15" s="52"/>
      <c r="X15" s="52"/>
      <c r="Y15" s="57"/>
      <c r="AA15" s="69">
        <v>1</v>
      </c>
      <c r="AB15" s="70" t="s">
        <v>602</v>
      </c>
    </row>
    <row r="16" spans="2:28" x14ac:dyDescent="0.35">
      <c r="B16" s="56"/>
      <c r="C16" s="52"/>
      <c r="D16" s="52"/>
      <c r="E16" s="52"/>
      <c r="F16" s="52"/>
      <c r="G16" s="52"/>
      <c r="H16" s="52"/>
      <c r="I16" s="52"/>
      <c r="J16" s="52"/>
      <c r="K16" s="52"/>
      <c r="L16" s="52"/>
      <c r="M16" s="52"/>
      <c r="N16" s="52"/>
      <c r="O16" s="52"/>
      <c r="P16" s="52"/>
      <c r="Q16" s="52"/>
      <c r="R16" s="52"/>
      <c r="S16" s="52"/>
      <c r="T16" s="52"/>
      <c r="U16" s="52"/>
      <c r="V16" s="52"/>
      <c r="W16" s="52"/>
      <c r="X16" s="52"/>
      <c r="Y16" s="57"/>
      <c r="AA16" s="71">
        <v>2</v>
      </c>
      <c r="AB16" s="70" t="s">
        <v>603</v>
      </c>
    </row>
    <row r="17" spans="2:28" x14ac:dyDescent="0.35">
      <c r="B17" s="56"/>
      <c r="C17" s="52"/>
      <c r="D17" s="52"/>
      <c r="E17" s="52"/>
      <c r="F17" s="52"/>
      <c r="G17" s="52"/>
      <c r="H17" s="52"/>
      <c r="I17" s="52"/>
      <c r="J17" s="52"/>
      <c r="K17" s="52"/>
      <c r="L17" s="52"/>
      <c r="M17" s="52"/>
      <c r="N17" s="52"/>
      <c r="O17" s="52"/>
      <c r="P17" s="52"/>
      <c r="Q17" s="52"/>
      <c r="R17" s="52"/>
      <c r="S17" s="52"/>
      <c r="T17" s="52"/>
      <c r="U17" s="52"/>
      <c r="V17" s="52"/>
      <c r="W17" s="52"/>
      <c r="X17" s="52"/>
      <c r="Y17" s="57"/>
      <c r="AA17" s="71">
        <v>3</v>
      </c>
      <c r="AB17" s="70" t="s">
        <v>604</v>
      </c>
    </row>
    <row r="18" spans="2:28" x14ac:dyDescent="0.35">
      <c r="B18" s="56"/>
      <c r="C18" s="52"/>
      <c r="D18" s="52"/>
      <c r="E18" s="52"/>
      <c r="F18" s="52"/>
      <c r="G18" s="52"/>
      <c r="H18" s="52"/>
      <c r="I18" s="52"/>
      <c r="J18" s="52"/>
      <c r="K18" s="52"/>
      <c r="L18" s="52"/>
      <c r="M18" s="52"/>
      <c r="N18" s="52"/>
      <c r="O18" s="52"/>
      <c r="P18" s="52"/>
      <c r="Q18" s="52"/>
      <c r="R18" s="52"/>
      <c r="S18" s="52"/>
      <c r="T18" s="52"/>
      <c r="U18" s="52"/>
      <c r="V18" s="52"/>
      <c r="W18" s="52"/>
      <c r="X18" s="52"/>
      <c r="Y18" s="57"/>
      <c r="AA18" s="71">
        <v>4</v>
      </c>
      <c r="AB18" s="70" t="s">
        <v>605</v>
      </c>
    </row>
    <row r="19" spans="2:28" x14ac:dyDescent="0.35">
      <c r="B19" s="56"/>
      <c r="C19" s="52"/>
      <c r="D19" s="52"/>
      <c r="E19" s="52"/>
      <c r="F19" s="52"/>
      <c r="G19" s="52"/>
      <c r="H19" s="52"/>
      <c r="I19" s="52"/>
      <c r="J19" s="52"/>
      <c r="K19" s="52"/>
      <c r="L19" s="52"/>
      <c r="M19" s="52"/>
      <c r="N19" s="52"/>
      <c r="O19" s="52"/>
      <c r="P19" s="52"/>
      <c r="Q19" s="52"/>
      <c r="R19" s="52"/>
      <c r="S19" s="52"/>
      <c r="T19" s="52"/>
      <c r="U19" s="52"/>
      <c r="V19" s="52"/>
      <c r="W19" s="52"/>
      <c r="X19" s="52"/>
      <c r="Y19" s="57"/>
      <c r="AA19" s="71">
        <v>5</v>
      </c>
      <c r="AB19" s="70" t="s">
        <v>606</v>
      </c>
    </row>
    <row r="20" spans="2:28" x14ac:dyDescent="0.35">
      <c r="B20" s="56"/>
      <c r="C20" s="52"/>
      <c r="D20" s="52"/>
      <c r="E20" s="52"/>
      <c r="F20" s="52"/>
      <c r="G20" s="52"/>
      <c r="H20" s="52"/>
      <c r="I20" s="52"/>
      <c r="J20" s="52"/>
      <c r="K20" s="52"/>
      <c r="L20" s="52"/>
      <c r="M20" s="52"/>
      <c r="N20" s="52"/>
      <c r="O20" s="52"/>
      <c r="P20" s="52"/>
      <c r="Q20" s="52"/>
      <c r="R20" s="52"/>
      <c r="S20" s="52"/>
      <c r="T20" s="52"/>
      <c r="U20" s="52"/>
      <c r="V20" s="52"/>
      <c r="W20" s="52"/>
      <c r="X20" s="52"/>
      <c r="Y20" s="57"/>
      <c r="AA20" s="71"/>
      <c r="AB20" s="70"/>
    </row>
    <row r="21" spans="2:28" x14ac:dyDescent="0.35">
      <c r="B21" s="56"/>
      <c r="C21" s="52"/>
      <c r="D21" s="52"/>
      <c r="E21" s="52"/>
      <c r="F21" s="52"/>
      <c r="G21" s="52"/>
      <c r="H21" s="52"/>
      <c r="I21" s="52"/>
      <c r="J21" s="52"/>
      <c r="K21" s="52"/>
      <c r="L21" s="52"/>
      <c r="M21" s="52"/>
      <c r="N21" s="52"/>
      <c r="O21" s="52"/>
      <c r="P21" s="52"/>
      <c r="Q21" s="52"/>
      <c r="R21" s="52"/>
      <c r="S21" s="52"/>
      <c r="T21" s="52"/>
      <c r="U21" s="52"/>
      <c r="V21" s="52"/>
      <c r="W21" s="52"/>
      <c r="X21" s="52"/>
      <c r="Y21" s="57"/>
      <c r="AA21" s="73"/>
      <c r="AB21" s="66"/>
    </row>
    <row r="22" spans="2:28" x14ac:dyDescent="0.35">
      <c r="B22" s="56"/>
      <c r="C22" s="52"/>
      <c r="D22" s="52"/>
      <c r="E22" s="52"/>
      <c r="F22" s="52"/>
      <c r="G22" s="52"/>
      <c r="H22" s="52"/>
      <c r="I22" s="52"/>
      <c r="J22" s="52"/>
      <c r="K22" s="52"/>
      <c r="L22" s="52"/>
      <c r="M22" s="52"/>
      <c r="N22" s="52"/>
      <c r="O22" s="52"/>
      <c r="P22" s="52"/>
      <c r="Q22" s="52"/>
      <c r="R22" s="52"/>
      <c r="S22" s="52"/>
      <c r="T22" s="52"/>
      <c r="U22" s="52"/>
      <c r="V22" s="52"/>
      <c r="W22" s="52"/>
      <c r="X22" s="52"/>
      <c r="Y22" s="57"/>
      <c r="AA22" s="67" t="s">
        <v>607</v>
      </c>
      <c r="AB22" s="57"/>
    </row>
    <row r="23" spans="2:28" x14ac:dyDescent="0.35">
      <c r="B23" s="56"/>
      <c r="C23" s="52"/>
      <c r="D23" s="52"/>
      <c r="E23" s="52"/>
      <c r="F23" s="52"/>
      <c r="G23" s="52"/>
      <c r="H23" s="52"/>
      <c r="I23" s="52"/>
      <c r="J23" s="52"/>
      <c r="K23" s="52"/>
      <c r="L23" s="52"/>
      <c r="M23" s="52"/>
      <c r="N23" s="52"/>
      <c r="O23" s="52"/>
      <c r="P23" s="52"/>
      <c r="Q23" s="52"/>
      <c r="R23" s="52"/>
      <c r="S23" s="52"/>
      <c r="T23" s="52"/>
      <c r="U23" s="52"/>
      <c r="V23" s="52"/>
      <c r="W23" s="52"/>
      <c r="X23" s="52"/>
      <c r="Y23" s="57"/>
      <c r="AA23" s="74"/>
      <c r="AB23" s="75" t="s">
        <v>608</v>
      </c>
    </row>
    <row r="24" spans="2:28" x14ac:dyDescent="0.35">
      <c r="B24" s="56"/>
      <c r="C24" s="52"/>
      <c r="D24" s="52"/>
      <c r="E24" s="52"/>
      <c r="F24" s="52"/>
      <c r="G24" s="52"/>
      <c r="H24" s="52"/>
      <c r="I24" s="52"/>
      <c r="J24" s="52"/>
      <c r="K24" s="52"/>
      <c r="L24" s="52"/>
      <c r="M24" s="52"/>
      <c r="N24" s="52"/>
      <c r="O24" s="52"/>
      <c r="P24" s="52"/>
      <c r="Q24" s="52"/>
      <c r="R24" s="52"/>
      <c r="S24" s="52"/>
      <c r="T24" s="52"/>
      <c r="U24" s="52"/>
      <c r="V24" s="52"/>
      <c r="W24" s="52"/>
      <c r="X24" s="52"/>
      <c r="Y24" s="57"/>
      <c r="AA24" s="74"/>
      <c r="AB24" s="76" t="s">
        <v>609</v>
      </c>
    </row>
    <row r="25" spans="2:28" ht="15" thickBot="1" x14ac:dyDescent="0.4">
      <c r="B25" s="56"/>
      <c r="C25" s="52"/>
      <c r="D25" s="52"/>
      <c r="E25" s="52"/>
      <c r="F25" s="52"/>
      <c r="G25" s="52"/>
      <c r="H25" s="52"/>
      <c r="I25" s="52"/>
      <c r="J25" s="52"/>
      <c r="K25" s="52"/>
      <c r="L25" s="52"/>
      <c r="M25" s="52"/>
      <c r="N25" s="52"/>
      <c r="O25" s="52"/>
      <c r="P25" s="52"/>
      <c r="Q25" s="52"/>
      <c r="R25" s="52"/>
      <c r="S25" s="52"/>
      <c r="T25" s="52"/>
      <c r="U25" s="52"/>
      <c r="V25" s="52"/>
      <c r="W25" s="52"/>
      <c r="X25" s="52"/>
      <c r="Y25" s="57"/>
      <c r="AA25" s="74"/>
      <c r="AB25" s="76" t="s">
        <v>610</v>
      </c>
    </row>
    <row r="26" spans="2:28" ht="15" thickBot="1" x14ac:dyDescent="0.4">
      <c r="B26" s="85" t="s">
        <v>611</v>
      </c>
      <c r="C26" s="52"/>
      <c r="D26" s="52"/>
      <c r="E26" s="52"/>
      <c r="F26" s="52"/>
      <c r="G26" s="52"/>
      <c r="H26" s="52"/>
      <c r="I26" s="52"/>
      <c r="J26" s="52"/>
      <c r="K26" s="52"/>
      <c r="L26" s="52"/>
      <c r="M26" s="52"/>
      <c r="N26" s="85" t="s">
        <v>612</v>
      </c>
      <c r="O26" s="52"/>
      <c r="P26" s="52"/>
      <c r="Q26" s="52"/>
      <c r="R26" s="52"/>
      <c r="S26" s="52"/>
      <c r="T26" s="52"/>
      <c r="U26" s="52"/>
      <c r="V26" s="52"/>
      <c r="W26" s="52"/>
      <c r="X26" s="52"/>
      <c r="Y26" s="57"/>
      <c r="AA26" s="74"/>
      <c r="AB26" s="77"/>
    </row>
    <row r="27" spans="2:28" x14ac:dyDescent="0.35">
      <c r="B27" s="56"/>
      <c r="C27" s="52"/>
      <c r="D27" s="52"/>
      <c r="E27" s="52"/>
      <c r="F27" s="52"/>
      <c r="G27" s="52"/>
      <c r="H27" s="52"/>
      <c r="I27" s="52"/>
      <c r="J27" s="52"/>
      <c r="K27" s="52"/>
      <c r="L27" s="52"/>
      <c r="M27" s="52"/>
      <c r="N27" s="52"/>
      <c r="O27" s="52"/>
      <c r="P27" s="52"/>
      <c r="Q27" s="52"/>
      <c r="R27" s="52"/>
      <c r="S27" s="52"/>
      <c r="T27" s="52"/>
      <c r="U27" s="52"/>
      <c r="V27" s="52"/>
      <c r="W27" s="52"/>
      <c r="X27" s="52"/>
      <c r="Y27" s="57"/>
      <c r="AA27" s="74"/>
      <c r="AB27" s="78" t="s">
        <v>613</v>
      </c>
    </row>
    <row r="28" spans="2:28" x14ac:dyDescent="0.35">
      <c r="B28" s="56"/>
      <c r="C28" s="52"/>
      <c r="D28" s="52"/>
      <c r="E28" s="52"/>
      <c r="F28" s="52"/>
      <c r="G28" s="52"/>
      <c r="H28" s="52"/>
      <c r="I28" s="52"/>
      <c r="J28" s="52"/>
      <c r="K28" s="52"/>
      <c r="L28" s="52"/>
      <c r="M28" s="52"/>
      <c r="N28" s="52"/>
      <c r="O28" s="52"/>
      <c r="P28" s="52"/>
      <c r="Q28" s="52"/>
      <c r="R28" s="52"/>
      <c r="S28" s="52"/>
      <c r="T28" s="52"/>
      <c r="U28" s="52"/>
      <c r="V28" s="52"/>
      <c r="W28" s="52"/>
      <c r="X28" s="52"/>
      <c r="Y28" s="57"/>
      <c r="AA28" s="74"/>
      <c r="AB28" s="77" t="s">
        <v>614</v>
      </c>
    </row>
    <row r="29" spans="2:28" x14ac:dyDescent="0.35">
      <c r="B29" s="56"/>
      <c r="C29" s="52"/>
      <c r="D29" s="52"/>
      <c r="E29" s="52"/>
      <c r="F29" s="52"/>
      <c r="G29" s="52"/>
      <c r="H29" s="52"/>
      <c r="I29" s="52"/>
      <c r="J29" s="52"/>
      <c r="K29" s="52"/>
      <c r="L29" s="52"/>
      <c r="M29" s="52"/>
      <c r="N29" s="52"/>
      <c r="O29" s="52"/>
      <c r="P29" s="52"/>
      <c r="Q29" s="52"/>
      <c r="R29" s="52"/>
      <c r="S29" s="52"/>
      <c r="T29" s="52"/>
      <c r="U29" s="52"/>
      <c r="V29" s="52"/>
      <c r="W29" s="52"/>
      <c r="X29" s="52"/>
      <c r="Y29" s="57"/>
      <c r="AA29" s="74"/>
      <c r="AB29" s="77" t="s">
        <v>615</v>
      </c>
    </row>
    <row r="30" spans="2:28" x14ac:dyDescent="0.35">
      <c r="B30" s="56"/>
      <c r="C30" s="52"/>
      <c r="D30" s="52"/>
      <c r="E30" s="52"/>
      <c r="F30" s="52"/>
      <c r="G30" s="52"/>
      <c r="H30" s="52"/>
      <c r="I30" s="52"/>
      <c r="J30" s="52"/>
      <c r="K30" s="52"/>
      <c r="L30" s="52"/>
      <c r="M30" s="52"/>
      <c r="N30" s="52"/>
      <c r="O30" s="52"/>
      <c r="P30" s="52"/>
      <c r="Q30" s="52"/>
      <c r="R30" s="52"/>
      <c r="S30" s="52"/>
      <c r="T30" s="52"/>
      <c r="U30" s="52"/>
      <c r="V30" s="52"/>
      <c r="W30" s="52"/>
      <c r="X30" s="52"/>
      <c r="Y30" s="57"/>
      <c r="AA30" s="74"/>
      <c r="AB30" s="77" t="s">
        <v>616</v>
      </c>
    </row>
    <row r="31" spans="2:28" x14ac:dyDescent="0.35">
      <c r="B31" s="56"/>
      <c r="C31" s="52"/>
      <c r="D31" s="52"/>
      <c r="E31" s="52"/>
      <c r="F31" s="52"/>
      <c r="G31" s="52"/>
      <c r="H31" s="52"/>
      <c r="I31" s="52"/>
      <c r="J31" s="52"/>
      <c r="K31" s="52"/>
      <c r="L31" s="52"/>
      <c r="M31" s="52"/>
      <c r="N31" s="52"/>
      <c r="O31" s="52"/>
      <c r="P31" s="52"/>
      <c r="Q31" s="52"/>
      <c r="R31" s="52"/>
      <c r="S31" s="52"/>
      <c r="T31" s="52"/>
      <c r="U31" s="52"/>
      <c r="V31" s="52"/>
      <c r="W31" s="52"/>
      <c r="X31" s="52"/>
      <c r="Y31" s="57"/>
      <c r="AA31" s="73"/>
      <c r="AB31" s="77" t="s">
        <v>617</v>
      </c>
    </row>
    <row r="32" spans="2:28" ht="15" thickBot="1" x14ac:dyDescent="0.4">
      <c r="B32" s="56"/>
      <c r="C32" s="52"/>
      <c r="D32" s="52"/>
      <c r="E32" s="52"/>
      <c r="F32" s="52"/>
      <c r="G32" s="52"/>
      <c r="H32" s="52"/>
      <c r="I32" s="52"/>
      <c r="J32" s="52"/>
      <c r="K32" s="52"/>
      <c r="L32" s="52"/>
      <c r="M32" s="52"/>
      <c r="N32" s="52"/>
      <c r="O32" s="52"/>
      <c r="P32" s="52"/>
      <c r="Q32" s="52"/>
      <c r="R32" s="52"/>
      <c r="S32" s="52"/>
      <c r="T32" s="52"/>
      <c r="U32" s="52"/>
      <c r="V32" s="52"/>
      <c r="W32" s="52"/>
      <c r="X32" s="52"/>
      <c r="Y32" s="57"/>
      <c r="AA32" s="79"/>
      <c r="AB32" s="80" t="s">
        <v>618</v>
      </c>
    </row>
    <row r="33" spans="2:25" x14ac:dyDescent="0.35">
      <c r="B33" s="56"/>
      <c r="C33" s="52"/>
      <c r="D33" s="52"/>
      <c r="E33" s="52"/>
      <c r="F33" s="52"/>
      <c r="G33" s="52"/>
      <c r="H33" s="52"/>
      <c r="I33" s="52"/>
      <c r="J33" s="52"/>
      <c r="K33" s="52"/>
      <c r="L33" s="52"/>
      <c r="M33" s="52"/>
      <c r="N33" s="52"/>
      <c r="O33" s="52"/>
      <c r="P33" s="52"/>
      <c r="Q33" s="52"/>
      <c r="R33" s="52"/>
      <c r="S33" s="52"/>
      <c r="T33" s="52"/>
      <c r="U33" s="52"/>
      <c r="V33" s="52"/>
      <c r="W33" s="52"/>
      <c r="X33" s="52"/>
      <c r="Y33" s="57"/>
    </row>
    <row r="34" spans="2:25" x14ac:dyDescent="0.35">
      <c r="B34" s="56"/>
      <c r="C34" s="52"/>
      <c r="D34" s="52"/>
      <c r="E34" s="52"/>
      <c r="F34" s="52"/>
      <c r="G34" s="52"/>
      <c r="H34" s="52"/>
      <c r="I34" s="52"/>
      <c r="J34" s="52"/>
      <c r="K34" s="52"/>
      <c r="L34" s="52"/>
      <c r="M34" s="52"/>
      <c r="N34" s="52"/>
      <c r="O34" s="52"/>
      <c r="P34" s="52"/>
      <c r="Q34" s="52"/>
      <c r="R34" s="52"/>
      <c r="S34" s="52"/>
      <c r="T34" s="52"/>
      <c r="U34" s="52"/>
      <c r="V34" s="52"/>
      <c r="W34" s="52"/>
      <c r="X34" s="52"/>
      <c r="Y34" s="57"/>
    </row>
    <row r="35" spans="2:25" x14ac:dyDescent="0.35">
      <c r="B35" s="56"/>
      <c r="C35" s="52"/>
      <c r="D35" s="52"/>
      <c r="E35" s="52"/>
      <c r="F35" s="52"/>
      <c r="G35" s="52"/>
      <c r="H35" s="52"/>
      <c r="I35" s="52"/>
      <c r="J35" s="52"/>
      <c r="K35" s="52"/>
      <c r="L35" s="52"/>
      <c r="M35" s="52"/>
      <c r="N35" s="52"/>
      <c r="O35" s="52"/>
      <c r="P35" s="52"/>
      <c r="Q35" s="52"/>
      <c r="R35" s="52"/>
      <c r="S35" s="52"/>
      <c r="T35" s="52"/>
      <c r="U35" s="52"/>
      <c r="V35" s="52"/>
      <c r="W35" s="52"/>
      <c r="X35" s="52"/>
      <c r="Y35" s="57"/>
    </row>
    <row r="36" spans="2:25" x14ac:dyDescent="0.35">
      <c r="B36" s="56"/>
      <c r="C36" s="52"/>
      <c r="D36" s="52"/>
      <c r="E36" s="52"/>
      <c r="F36" s="52"/>
      <c r="G36" s="52"/>
      <c r="H36" s="52"/>
      <c r="I36" s="52"/>
      <c r="J36" s="52"/>
      <c r="K36" s="52"/>
      <c r="L36" s="52"/>
      <c r="M36" s="52"/>
      <c r="N36" s="52"/>
      <c r="O36" s="52"/>
      <c r="P36" s="52"/>
      <c r="Q36" s="52"/>
      <c r="R36" s="52"/>
      <c r="S36" s="52"/>
      <c r="T36" s="52"/>
      <c r="U36" s="52"/>
      <c r="V36" s="52"/>
      <c r="W36" s="52"/>
      <c r="X36" s="52"/>
      <c r="Y36" s="57"/>
    </row>
    <row r="37" spans="2:25" x14ac:dyDescent="0.35">
      <c r="B37" s="56"/>
      <c r="C37" s="52"/>
      <c r="D37" s="52"/>
      <c r="E37" s="52"/>
      <c r="F37" s="52"/>
      <c r="G37" s="52"/>
      <c r="H37" s="52"/>
      <c r="I37" s="52"/>
      <c r="J37" s="52"/>
      <c r="K37" s="52"/>
      <c r="L37" s="52"/>
      <c r="M37" s="52"/>
      <c r="N37" s="52"/>
      <c r="O37" s="52"/>
      <c r="P37" s="52"/>
      <c r="Q37" s="52"/>
      <c r="R37" s="52"/>
      <c r="S37" s="52"/>
      <c r="T37" s="52"/>
      <c r="U37" s="52"/>
      <c r="V37" s="52"/>
      <c r="W37" s="52"/>
      <c r="X37" s="52"/>
      <c r="Y37" s="57"/>
    </row>
    <row r="38" spans="2:25" x14ac:dyDescent="0.35">
      <c r="B38" s="56"/>
      <c r="C38" s="52"/>
      <c r="D38" s="52"/>
      <c r="E38" s="52"/>
      <c r="F38" s="52"/>
      <c r="G38" s="52"/>
      <c r="H38" s="52"/>
      <c r="I38" s="52"/>
      <c r="J38" s="52"/>
      <c r="K38" s="52"/>
      <c r="L38" s="52"/>
      <c r="M38" s="52"/>
      <c r="N38" s="52"/>
      <c r="O38" s="52"/>
      <c r="P38" s="52"/>
      <c r="Q38" s="52"/>
      <c r="R38" s="52"/>
      <c r="S38" s="52"/>
      <c r="T38" s="52"/>
      <c r="U38" s="52"/>
      <c r="V38" s="52"/>
      <c r="W38" s="52"/>
      <c r="X38" s="52"/>
      <c r="Y38" s="57"/>
    </row>
    <row r="39" spans="2:25" x14ac:dyDescent="0.35">
      <c r="B39" s="56"/>
      <c r="C39" s="52"/>
      <c r="D39" s="52"/>
      <c r="E39" s="52"/>
      <c r="F39" s="52"/>
      <c r="G39" s="52"/>
      <c r="H39" s="52"/>
      <c r="I39" s="52"/>
      <c r="J39" s="52"/>
      <c r="K39" s="52"/>
      <c r="L39" s="52"/>
      <c r="M39" s="52"/>
      <c r="N39" s="52"/>
      <c r="O39" s="52"/>
      <c r="P39" s="52"/>
      <c r="Q39" s="52"/>
      <c r="R39" s="52"/>
      <c r="S39" s="52"/>
      <c r="T39" s="52"/>
      <c r="U39" s="52"/>
      <c r="V39" s="52"/>
      <c r="W39" s="52"/>
      <c r="X39" s="52"/>
      <c r="Y39" s="57"/>
    </row>
    <row r="40" spans="2:25" x14ac:dyDescent="0.35">
      <c r="B40" s="56"/>
      <c r="C40" s="52"/>
      <c r="D40" s="52"/>
      <c r="E40" s="52"/>
      <c r="F40" s="52"/>
      <c r="G40" s="52"/>
      <c r="H40" s="52"/>
      <c r="I40" s="52"/>
      <c r="J40" s="52"/>
      <c r="K40" s="52"/>
      <c r="L40" s="52"/>
      <c r="M40" s="52"/>
      <c r="N40" s="52"/>
      <c r="O40" s="52"/>
      <c r="P40" s="52"/>
      <c r="Q40" s="52"/>
      <c r="R40" s="52"/>
      <c r="S40" s="52"/>
      <c r="T40" s="52"/>
      <c r="U40" s="52"/>
      <c r="V40" s="52"/>
      <c r="W40" s="52"/>
      <c r="X40" s="52"/>
      <c r="Y40" s="57"/>
    </row>
    <row r="41" spans="2:25" x14ac:dyDescent="0.35">
      <c r="B41" s="56"/>
      <c r="C41" s="52"/>
      <c r="D41" s="52"/>
      <c r="E41" s="52"/>
      <c r="F41" s="52"/>
      <c r="G41" s="52"/>
      <c r="H41" s="52"/>
      <c r="I41" s="52"/>
      <c r="J41" s="52"/>
      <c r="K41" s="52"/>
      <c r="L41" s="52"/>
      <c r="M41" s="52"/>
      <c r="N41" s="52"/>
      <c r="O41" s="52"/>
      <c r="P41" s="52"/>
      <c r="Q41" s="52"/>
      <c r="R41" s="52"/>
      <c r="S41" s="52"/>
      <c r="T41" s="52"/>
      <c r="U41" s="52"/>
      <c r="V41" s="52"/>
      <c r="W41" s="52"/>
      <c r="X41" s="52"/>
      <c r="Y41" s="57"/>
    </row>
    <row r="42" spans="2:25" x14ac:dyDescent="0.35">
      <c r="B42" s="56"/>
      <c r="C42" s="52"/>
      <c r="D42" s="52"/>
      <c r="E42" s="52"/>
      <c r="F42" s="52"/>
      <c r="G42" s="52"/>
      <c r="H42" s="52"/>
      <c r="I42" s="52"/>
      <c r="J42" s="52"/>
      <c r="K42" s="52"/>
      <c r="L42" s="52"/>
      <c r="M42" s="52"/>
      <c r="N42" s="52"/>
      <c r="O42" s="52"/>
      <c r="P42" s="52"/>
      <c r="Q42" s="52"/>
      <c r="R42" s="52"/>
      <c r="S42" s="52"/>
      <c r="T42" s="52"/>
      <c r="U42" s="52"/>
      <c r="V42" s="52"/>
      <c r="W42" s="52"/>
      <c r="X42" s="52"/>
      <c r="Y42" s="57"/>
    </row>
    <row r="43" spans="2:25" x14ac:dyDescent="0.35">
      <c r="B43" s="56"/>
      <c r="C43" s="52"/>
      <c r="D43" s="52"/>
      <c r="E43" s="52"/>
      <c r="F43" s="52"/>
      <c r="G43" s="52"/>
      <c r="H43" s="52"/>
      <c r="I43" s="52"/>
      <c r="J43" s="52"/>
      <c r="K43" s="52"/>
      <c r="L43" s="52"/>
      <c r="M43" s="52"/>
      <c r="N43" s="52"/>
      <c r="O43" s="52"/>
      <c r="P43" s="52"/>
      <c r="Q43" s="52"/>
      <c r="R43" s="52"/>
      <c r="S43" s="52"/>
      <c r="T43" s="52"/>
      <c r="U43" s="52"/>
      <c r="V43" s="52"/>
      <c r="W43" s="52"/>
      <c r="X43" s="52"/>
      <c r="Y43" s="57"/>
    </row>
    <row r="44" spans="2:25" x14ac:dyDescent="0.35">
      <c r="B44" s="56"/>
      <c r="C44" s="52"/>
      <c r="D44" s="52"/>
      <c r="E44" s="52"/>
      <c r="F44" s="52"/>
      <c r="G44" s="52"/>
      <c r="H44" s="52"/>
      <c r="I44" s="52"/>
      <c r="J44" s="52"/>
      <c r="K44" s="52"/>
      <c r="L44" s="52"/>
      <c r="M44" s="52"/>
      <c r="N44" s="52"/>
      <c r="O44" s="52"/>
      <c r="P44" s="52"/>
      <c r="Q44" s="52"/>
      <c r="R44" s="52"/>
      <c r="S44" s="52"/>
      <c r="T44" s="52"/>
      <c r="U44" s="52"/>
      <c r="V44" s="52"/>
      <c r="W44" s="52"/>
      <c r="X44" s="52"/>
      <c r="Y44" s="57"/>
    </row>
    <row r="45" spans="2:25" ht="15" thickBot="1" x14ac:dyDescent="0.4">
      <c r="B45" s="56"/>
      <c r="C45" s="52"/>
      <c r="D45" s="52"/>
      <c r="E45" s="52"/>
      <c r="F45" s="52"/>
      <c r="G45" s="52"/>
      <c r="H45" s="52"/>
      <c r="I45" s="52"/>
      <c r="J45" s="52"/>
      <c r="K45" s="52"/>
      <c r="L45" s="52"/>
      <c r="M45" s="52"/>
      <c r="N45" s="52"/>
      <c r="O45" s="52"/>
      <c r="P45" s="52"/>
      <c r="Q45" s="52"/>
      <c r="R45" s="52"/>
      <c r="S45" s="52"/>
      <c r="T45" s="52"/>
      <c r="U45" s="52"/>
      <c r="V45" s="52"/>
      <c r="W45" s="52"/>
      <c r="X45" s="52"/>
      <c r="Y45" s="57"/>
    </row>
    <row r="46" spans="2:25" ht="15" thickBot="1" x14ac:dyDescent="0.4">
      <c r="B46" s="85" t="s">
        <v>619</v>
      </c>
      <c r="C46" s="52"/>
      <c r="D46" s="52"/>
      <c r="E46" s="52"/>
      <c r="F46" s="52"/>
      <c r="G46" s="52"/>
      <c r="H46" s="52"/>
      <c r="I46" s="52"/>
      <c r="J46" s="52"/>
      <c r="K46" s="52"/>
      <c r="L46" s="52"/>
      <c r="M46" s="52"/>
      <c r="N46" s="85" t="s">
        <v>620</v>
      </c>
      <c r="O46" s="52"/>
      <c r="P46" s="52"/>
      <c r="Q46" s="52"/>
      <c r="R46" s="52"/>
      <c r="S46" s="52"/>
      <c r="T46" s="52"/>
      <c r="U46" s="52"/>
      <c r="V46" s="52"/>
      <c r="W46" s="52"/>
      <c r="X46" s="52"/>
      <c r="Y46" s="57"/>
    </row>
    <row r="47" spans="2:25" x14ac:dyDescent="0.35">
      <c r="B47" s="56"/>
      <c r="C47" s="52"/>
      <c r="D47" s="52"/>
      <c r="E47" s="52"/>
      <c r="F47" s="52"/>
      <c r="G47" s="52"/>
      <c r="H47" s="52"/>
      <c r="I47" s="52"/>
      <c r="J47" s="52"/>
      <c r="K47" s="52"/>
      <c r="L47" s="52"/>
      <c r="M47" s="52"/>
      <c r="N47" s="52"/>
      <c r="O47" s="52"/>
      <c r="P47" s="52"/>
      <c r="Q47" s="52"/>
      <c r="R47" s="52"/>
      <c r="S47" s="52"/>
      <c r="T47" s="52"/>
      <c r="U47" s="52"/>
      <c r="V47" s="52"/>
      <c r="W47" s="52"/>
      <c r="X47" s="52"/>
      <c r="Y47" s="57"/>
    </row>
    <row r="48" spans="2:25" x14ac:dyDescent="0.35">
      <c r="B48" s="56"/>
      <c r="C48" s="52"/>
      <c r="D48" s="52"/>
      <c r="E48" s="52"/>
      <c r="F48" s="52"/>
      <c r="G48" s="52"/>
      <c r="H48" s="52"/>
      <c r="I48" s="52"/>
      <c r="J48" s="52"/>
      <c r="K48" s="52"/>
      <c r="L48" s="52"/>
      <c r="M48" s="52"/>
      <c r="N48" s="52"/>
      <c r="O48" s="52"/>
      <c r="P48" s="52"/>
      <c r="Q48" s="52"/>
      <c r="R48" s="52"/>
      <c r="S48" s="52"/>
      <c r="T48" s="52"/>
      <c r="U48" s="52"/>
      <c r="V48" s="52"/>
      <c r="W48" s="52"/>
      <c r="X48" s="52"/>
      <c r="Y48" s="57"/>
    </row>
    <row r="49" spans="2:25" x14ac:dyDescent="0.35">
      <c r="B49" s="56"/>
      <c r="C49" s="52"/>
      <c r="D49" s="52"/>
      <c r="E49" s="52"/>
      <c r="F49" s="52"/>
      <c r="G49" s="52"/>
      <c r="H49" s="52"/>
      <c r="I49" s="52"/>
      <c r="J49" s="52"/>
      <c r="K49" s="52"/>
      <c r="L49" s="52"/>
      <c r="M49" s="52"/>
      <c r="N49" s="52"/>
      <c r="O49" s="52"/>
      <c r="P49" s="52"/>
      <c r="Q49" s="52"/>
      <c r="R49" s="52"/>
      <c r="S49" s="52"/>
      <c r="T49" s="52"/>
      <c r="U49" s="52"/>
      <c r="V49" s="52"/>
      <c r="W49" s="52"/>
      <c r="X49" s="52"/>
      <c r="Y49" s="57"/>
    </row>
    <row r="50" spans="2:25" x14ac:dyDescent="0.35">
      <c r="B50" s="56"/>
      <c r="C50" s="52"/>
      <c r="D50" s="52"/>
      <c r="E50" s="52"/>
      <c r="F50" s="52"/>
      <c r="G50" s="52"/>
      <c r="H50" s="52"/>
      <c r="I50" s="52"/>
      <c r="J50" s="52"/>
      <c r="K50" s="52"/>
      <c r="L50" s="52"/>
      <c r="M50" s="52"/>
      <c r="N50" s="52"/>
      <c r="O50" s="52"/>
      <c r="P50" s="52"/>
      <c r="Q50" s="52"/>
      <c r="R50" s="52"/>
      <c r="S50" s="52"/>
      <c r="T50" s="52"/>
      <c r="U50" s="52"/>
      <c r="V50" s="52"/>
      <c r="W50" s="52"/>
      <c r="X50" s="52"/>
      <c r="Y50" s="57"/>
    </row>
    <row r="51" spans="2:25" x14ac:dyDescent="0.35">
      <c r="B51" s="56"/>
      <c r="C51" s="52"/>
      <c r="D51" s="52"/>
      <c r="E51" s="52"/>
      <c r="F51" s="52"/>
      <c r="G51" s="52"/>
      <c r="H51" s="52"/>
      <c r="I51" s="52"/>
      <c r="J51" s="52"/>
      <c r="K51" s="52"/>
      <c r="L51" s="52"/>
      <c r="M51" s="52"/>
      <c r="N51" s="52"/>
      <c r="O51" s="52"/>
      <c r="P51" s="52"/>
      <c r="Q51" s="52"/>
      <c r="R51" s="52"/>
      <c r="S51" s="52"/>
      <c r="T51" s="52"/>
      <c r="U51" s="52"/>
      <c r="V51" s="52"/>
      <c r="W51" s="52"/>
      <c r="X51" s="52"/>
      <c r="Y51" s="57"/>
    </row>
    <row r="52" spans="2:25" x14ac:dyDescent="0.35">
      <c r="B52" s="56"/>
      <c r="C52" s="52"/>
      <c r="D52" s="52"/>
      <c r="E52" s="52"/>
      <c r="F52" s="52"/>
      <c r="G52" s="52"/>
      <c r="H52" s="52"/>
      <c r="I52" s="52"/>
      <c r="J52" s="52"/>
      <c r="K52" s="52"/>
      <c r="L52" s="52"/>
      <c r="M52" s="52"/>
      <c r="N52" s="52"/>
      <c r="O52" s="52"/>
      <c r="P52" s="52"/>
      <c r="Q52" s="52"/>
      <c r="R52" s="52"/>
      <c r="S52" s="52"/>
      <c r="T52" s="52"/>
      <c r="U52" s="52"/>
      <c r="V52" s="52"/>
      <c r="W52" s="52"/>
      <c r="X52" s="52"/>
      <c r="Y52" s="57"/>
    </row>
    <row r="53" spans="2:25" x14ac:dyDescent="0.35">
      <c r="B53" s="56"/>
      <c r="C53" s="52"/>
      <c r="D53" s="52"/>
      <c r="E53" s="52"/>
      <c r="F53" s="52"/>
      <c r="G53" s="52"/>
      <c r="H53" s="52"/>
      <c r="I53" s="52"/>
      <c r="J53" s="52"/>
      <c r="K53" s="52"/>
      <c r="L53" s="52"/>
      <c r="M53" s="52"/>
      <c r="N53" s="52"/>
      <c r="O53" s="52"/>
      <c r="P53" s="52"/>
      <c r="Q53" s="52"/>
      <c r="R53" s="52"/>
      <c r="S53" s="52"/>
      <c r="T53" s="52"/>
      <c r="U53" s="52"/>
      <c r="V53" s="52"/>
      <c r="W53" s="52"/>
      <c r="X53" s="52"/>
      <c r="Y53" s="57"/>
    </row>
    <row r="54" spans="2:25" x14ac:dyDescent="0.35">
      <c r="B54" s="56"/>
      <c r="C54" s="52"/>
      <c r="D54" s="52"/>
      <c r="E54" s="52"/>
      <c r="F54" s="52"/>
      <c r="G54" s="52"/>
      <c r="H54" s="52"/>
      <c r="I54" s="52"/>
      <c r="J54" s="52"/>
      <c r="K54" s="52"/>
      <c r="L54" s="52"/>
      <c r="M54" s="52"/>
      <c r="N54" s="52"/>
      <c r="O54" s="52"/>
      <c r="P54" s="52"/>
      <c r="Q54" s="52"/>
      <c r="R54" s="52"/>
      <c r="S54" s="52"/>
      <c r="T54" s="52"/>
      <c r="U54" s="52"/>
      <c r="V54" s="52"/>
      <c r="W54" s="52"/>
      <c r="X54" s="52"/>
      <c r="Y54" s="57"/>
    </row>
    <row r="55" spans="2:25" x14ac:dyDescent="0.35">
      <c r="B55" s="56"/>
      <c r="C55" s="52"/>
      <c r="D55" s="52"/>
      <c r="E55" s="52"/>
      <c r="F55" s="52"/>
      <c r="G55" s="52"/>
      <c r="H55" s="52"/>
      <c r="I55" s="52"/>
      <c r="J55" s="52"/>
      <c r="K55" s="52"/>
      <c r="L55" s="52"/>
      <c r="M55" s="52"/>
      <c r="N55" s="52"/>
      <c r="O55" s="52"/>
      <c r="P55" s="52"/>
      <c r="Q55" s="52"/>
      <c r="R55" s="52"/>
      <c r="S55" s="52"/>
      <c r="T55" s="52"/>
      <c r="U55" s="52"/>
      <c r="V55" s="52"/>
      <c r="W55" s="52"/>
      <c r="X55" s="52"/>
      <c r="Y55" s="57"/>
    </row>
    <row r="56" spans="2:25" x14ac:dyDescent="0.35">
      <c r="B56" s="56"/>
      <c r="C56" s="52"/>
      <c r="D56" s="52"/>
      <c r="E56" s="52"/>
      <c r="F56" s="52"/>
      <c r="G56" s="52"/>
      <c r="H56" s="52"/>
      <c r="I56" s="52"/>
      <c r="J56" s="52"/>
      <c r="K56" s="52"/>
      <c r="L56" s="52"/>
      <c r="M56" s="52"/>
      <c r="N56" s="52"/>
      <c r="O56" s="52"/>
      <c r="P56" s="52"/>
      <c r="Q56" s="52"/>
      <c r="R56" s="52"/>
      <c r="S56" s="52"/>
      <c r="T56" s="52"/>
      <c r="U56" s="52"/>
      <c r="V56" s="52"/>
      <c r="W56" s="52"/>
      <c r="X56" s="52"/>
      <c r="Y56" s="57"/>
    </row>
    <row r="57" spans="2:25" x14ac:dyDescent="0.35">
      <c r="B57" s="56"/>
      <c r="C57" s="52"/>
      <c r="D57" s="52"/>
      <c r="E57" s="52"/>
      <c r="F57" s="52"/>
      <c r="G57" s="52"/>
      <c r="H57" s="52"/>
      <c r="I57" s="52"/>
      <c r="J57" s="52"/>
      <c r="K57" s="52"/>
      <c r="L57" s="52"/>
      <c r="M57" s="52"/>
      <c r="N57" s="52"/>
      <c r="O57" s="52"/>
      <c r="P57" s="52"/>
      <c r="Q57" s="52"/>
      <c r="R57" s="52"/>
      <c r="S57" s="52"/>
      <c r="T57" s="52"/>
      <c r="U57" s="52"/>
      <c r="V57" s="52"/>
      <c r="W57" s="52"/>
      <c r="X57" s="52"/>
      <c r="Y57" s="57"/>
    </row>
    <row r="58" spans="2:25" x14ac:dyDescent="0.35">
      <c r="B58" s="56"/>
      <c r="C58" s="52"/>
      <c r="D58" s="52"/>
      <c r="E58" s="52"/>
      <c r="F58" s="52"/>
      <c r="G58" s="52"/>
      <c r="H58" s="52"/>
      <c r="I58" s="52"/>
      <c r="J58" s="52"/>
      <c r="K58" s="52"/>
      <c r="L58" s="52"/>
      <c r="M58" s="52"/>
      <c r="N58" s="52"/>
      <c r="O58" s="52"/>
      <c r="P58" s="52"/>
      <c r="Q58" s="52"/>
      <c r="R58" s="52"/>
      <c r="S58" s="52"/>
      <c r="T58" s="52"/>
      <c r="U58" s="52"/>
      <c r="V58" s="52"/>
      <c r="W58" s="52"/>
      <c r="X58" s="52"/>
      <c r="Y58" s="57"/>
    </row>
    <row r="59" spans="2:25" x14ac:dyDescent="0.35">
      <c r="B59" s="56"/>
      <c r="C59" s="52"/>
      <c r="D59" s="52"/>
      <c r="E59" s="52"/>
      <c r="F59" s="52"/>
      <c r="G59" s="52"/>
      <c r="H59" s="52"/>
      <c r="I59" s="52"/>
      <c r="J59" s="52"/>
      <c r="K59" s="52"/>
      <c r="L59" s="52"/>
      <c r="M59" s="52"/>
      <c r="N59" s="52"/>
      <c r="O59" s="52"/>
      <c r="P59" s="52"/>
      <c r="Q59" s="52"/>
      <c r="R59" s="52"/>
      <c r="S59" s="52"/>
      <c r="T59" s="52"/>
      <c r="U59" s="52"/>
      <c r="V59" s="52"/>
      <c r="W59" s="52"/>
      <c r="X59" s="52"/>
      <c r="Y59" s="57"/>
    </row>
    <row r="60" spans="2:25" x14ac:dyDescent="0.35">
      <c r="B60" s="56"/>
      <c r="C60" s="52"/>
      <c r="D60" s="52"/>
      <c r="E60" s="52"/>
      <c r="F60" s="52"/>
      <c r="G60" s="52"/>
      <c r="H60" s="52"/>
      <c r="I60" s="52"/>
      <c r="J60" s="52"/>
      <c r="K60" s="52"/>
      <c r="L60" s="52"/>
      <c r="M60" s="52"/>
      <c r="N60" s="52"/>
      <c r="O60" s="52"/>
      <c r="P60" s="52"/>
      <c r="Q60" s="52"/>
      <c r="R60" s="52"/>
      <c r="S60" s="52"/>
      <c r="T60" s="52"/>
      <c r="U60" s="52"/>
      <c r="V60" s="52"/>
      <c r="W60" s="52"/>
      <c r="X60" s="52"/>
      <c r="Y60" s="57"/>
    </row>
    <row r="61" spans="2:25" x14ac:dyDescent="0.35">
      <c r="B61" s="56"/>
      <c r="C61" s="52"/>
      <c r="D61" s="52"/>
      <c r="E61" s="52"/>
      <c r="F61" s="52"/>
      <c r="G61" s="52"/>
      <c r="H61" s="52"/>
      <c r="I61" s="52"/>
      <c r="J61" s="52"/>
      <c r="K61" s="52"/>
      <c r="L61" s="52"/>
      <c r="M61" s="52"/>
      <c r="N61" s="52"/>
      <c r="O61" s="52"/>
      <c r="P61" s="52"/>
      <c r="Q61" s="52"/>
      <c r="R61" s="52"/>
      <c r="S61" s="52"/>
      <c r="T61" s="52"/>
      <c r="U61" s="52"/>
      <c r="V61" s="52"/>
      <c r="W61" s="52"/>
      <c r="X61" s="52"/>
      <c r="Y61" s="57"/>
    </row>
    <row r="62" spans="2:25" x14ac:dyDescent="0.35">
      <c r="B62" s="56"/>
      <c r="C62" s="52"/>
      <c r="D62" s="52"/>
      <c r="E62" s="52"/>
      <c r="F62" s="52"/>
      <c r="G62" s="52"/>
      <c r="H62" s="52"/>
      <c r="I62" s="52"/>
      <c r="J62" s="52"/>
      <c r="K62" s="52"/>
      <c r="L62" s="52"/>
      <c r="M62" s="52"/>
      <c r="N62" s="52"/>
      <c r="O62" s="52"/>
      <c r="P62" s="52"/>
      <c r="Q62" s="52"/>
      <c r="R62" s="52"/>
      <c r="S62" s="52"/>
      <c r="T62" s="52"/>
      <c r="U62" s="52"/>
      <c r="V62" s="52"/>
      <c r="W62" s="52"/>
      <c r="X62" s="52"/>
      <c r="Y62" s="57"/>
    </row>
    <row r="63" spans="2:25" x14ac:dyDescent="0.35">
      <c r="B63" s="56"/>
      <c r="C63" s="52"/>
      <c r="D63" s="52"/>
      <c r="E63" s="52"/>
      <c r="F63" s="52"/>
      <c r="G63" s="52"/>
      <c r="H63" s="52"/>
      <c r="I63" s="52"/>
      <c r="J63" s="52"/>
      <c r="K63" s="52"/>
      <c r="L63" s="52"/>
      <c r="M63" s="52"/>
      <c r="N63" s="52"/>
      <c r="O63" s="52"/>
      <c r="P63" s="52"/>
      <c r="Q63" s="52"/>
      <c r="R63" s="52"/>
      <c r="S63" s="52"/>
      <c r="T63" s="52"/>
      <c r="U63" s="52"/>
      <c r="V63" s="52"/>
      <c r="W63" s="52"/>
      <c r="X63" s="52"/>
      <c r="Y63" s="57"/>
    </row>
    <row r="64" spans="2:25" x14ac:dyDescent="0.35">
      <c r="B64" s="56"/>
      <c r="C64" s="52"/>
      <c r="D64" s="52"/>
      <c r="E64" s="52"/>
      <c r="F64" s="52"/>
      <c r="G64" s="52"/>
      <c r="H64" s="52"/>
      <c r="I64" s="52"/>
      <c r="J64" s="52"/>
      <c r="K64" s="52"/>
      <c r="L64" s="52"/>
      <c r="M64" s="52"/>
      <c r="N64" s="52"/>
      <c r="O64" s="52"/>
      <c r="P64" s="52"/>
      <c r="Q64" s="52"/>
      <c r="R64" s="52"/>
      <c r="S64" s="52"/>
      <c r="T64" s="52"/>
      <c r="U64" s="52"/>
      <c r="V64" s="52"/>
      <c r="W64" s="52"/>
      <c r="X64" s="52"/>
      <c r="Y64" s="57"/>
    </row>
    <row r="65" spans="2:25" x14ac:dyDescent="0.35">
      <c r="B65" s="56"/>
      <c r="C65" s="52"/>
      <c r="D65" s="52"/>
      <c r="E65" s="52"/>
      <c r="F65" s="52"/>
      <c r="G65" s="52"/>
      <c r="H65" s="52"/>
      <c r="I65" s="52"/>
      <c r="J65" s="52"/>
      <c r="K65" s="52"/>
      <c r="L65" s="52"/>
      <c r="M65" s="52"/>
      <c r="N65" s="52"/>
      <c r="O65" s="52"/>
      <c r="P65" s="52"/>
      <c r="Q65" s="52"/>
      <c r="R65" s="52"/>
      <c r="S65" s="52"/>
      <c r="T65" s="52"/>
      <c r="U65" s="52"/>
      <c r="V65" s="52"/>
      <c r="W65" s="52"/>
      <c r="X65" s="52"/>
      <c r="Y65" s="57"/>
    </row>
    <row r="66" spans="2:25" x14ac:dyDescent="0.35">
      <c r="B66" s="56"/>
      <c r="C66" s="52"/>
      <c r="D66" s="52"/>
      <c r="E66" s="52"/>
      <c r="F66" s="52"/>
      <c r="G66" s="52"/>
      <c r="H66" s="52"/>
      <c r="I66" s="52"/>
      <c r="J66" s="52"/>
      <c r="K66" s="52"/>
      <c r="L66" s="52"/>
      <c r="M66" s="52"/>
      <c r="N66" s="52"/>
      <c r="O66" s="52"/>
      <c r="P66" s="52"/>
      <c r="Q66" s="52"/>
      <c r="R66" s="52"/>
      <c r="S66" s="52"/>
      <c r="T66" s="52"/>
      <c r="U66" s="52"/>
      <c r="V66" s="52"/>
      <c r="W66" s="52"/>
      <c r="X66" s="52"/>
      <c r="Y66" s="57"/>
    </row>
    <row r="67" spans="2:25" ht="15" thickBot="1" x14ac:dyDescent="0.4">
      <c r="B67" s="56"/>
      <c r="C67" s="52"/>
      <c r="D67" s="52"/>
      <c r="E67" s="52"/>
      <c r="F67" s="52"/>
      <c r="G67" s="52"/>
      <c r="H67" s="52"/>
      <c r="I67" s="52"/>
      <c r="J67" s="52"/>
      <c r="K67" s="52"/>
      <c r="L67" s="52"/>
      <c r="M67" s="52"/>
      <c r="N67" s="52"/>
      <c r="O67" s="52"/>
      <c r="P67" s="52"/>
      <c r="Q67" s="52"/>
      <c r="R67" s="52"/>
      <c r="S67" s="52"/>
      <c r="T67" s="52"/>
      <c r="U67" s="52"/>
      <c r="V67" s="52"/>
      <c r="W67" s="52"/>
      <c r="X67" s="52"/>
      <c r="Y67" s="57"/>
    </row>
    <row r="68" spans="2:25" ht="15" thickBot="1" x14ac:dyDescent="0.4">
      <c r="B68" s="85" t="s">
        <v>621</v>
      </c>
      <c r="C68" s="52"/>
      <c r="D68" s="52"/>
      <c r="E68" s="52"/>
      <c r="F68" s="52"/>
      <c r="G68" s="52"/>
      <c r="H68" s="52"/>
      <c r="I68" s="52"/>
      <c r="J68" s="52"/>
      <c r="K68" s="52"/>
      <c r="L68" s="52"/>
      <c r="M68" s="52"/>
      <c r="N68" s="85" t="s">
        <v>622</v>
      </c>
      <c r="O68" s="52"/>
      <c r="P68" s="52"/>
      <c r="Q68" s="52"/>
      <c r="R68" s="52"/>
      <c r="S68" s="52"/>
      <c r="T68" s="52"/>
      <c r="U68" s="52"/>
      <c r="V68" s="52"/>
      <c r="W68" s="52"/>
      <c r="X68" s="52"/>
      <c r="Y68" s="57"/>
    </row>
    <row r="69" spans="2:25" x14ac:dyDescent="0.35">
      <c r="B69" s="56"/>
      <c r="C69" s="52"/>
      <c r="D69" s="52"/>
      <c r="E69" s="52"/>
      <c r="F69" s="52"/>
      <c r="G69" s="52"/>
      <c r="H69" s="52"/>
      <c r="I69" s="52"/>
      <c r="J69" s="52"/>
      <c r="K69" s="52"/>
      <c r="L69" s="52"/>
      <c r="M69" s="52"/>
      <c r="N69" s="52"/>
      <c r="O69" s="52"/>
      <c r="P69" s="52"/>
      <c r="Q69" s="52"/>
      <c r="R69" s="52"/>
      <c r="S69" s="52"/>
      <c r="T69" s="52"/>
      <c r="U69" s="52"/>
      <c r="V69" s="52"/>
      <c r="W69" s="52"/>
      <c r="X69" s="52"/>
      <c r="Y69" s="57"/>
    </row>
    <row r="70" spans="2:25" x14ac:dyDescent="0.35">
      <c r="B70" s="56"/>
      <c r="C70" s="52"/>
      <c r="D70" s="52"/>
      <c r="E70" s="52"/>
      <c r="F70" s="52"/>
      <c r="G70" s="52"/>
      <c r="H70" s="52"/>
      <c r="I70" s="52"/>
      <c r="J70" s="52"/>
      <c r="K70" s="52"/>
      <c r="L70" s="52"/>
      <c r="M70" s="52"/>
      <c r="N70" s="52"/>
      <c r="O70" s="52"/>
      <c r="P70" s="52"/>
      <c r="Q70" s="52"/>
      <c r="R70" s="52"/>
      <c r="S70" s="52"/>
      <c r="T70" s="52"/>
      <c r="U70" s="52"/>
      <c r="V70" s="52"/>
      <c r="W70" s="52"/>
      <c r="X70" s="52"/>
      <c r="Y70" s="57"/>
    </row>
    <row r="71" spans="2:25" x14ac:dyDescent="0.35">
      <c r="B71" s="56"/>
      <c r="C71" s="52"/>
      <c r="D71" s="52"/>
      <c r="E71" s="52"/>
      <c r="F71" s="52"/>
      <c r="G71" s="52"/>
      <c r="H71" s="52"/>
      <c r="I71" s="52"/>
      <c r="J71" s="52"/>
      <c r="K71" s="52"/>
      <c r="L71" s="52"/>
      <c r="M71" s="52"/>
      <c r="N71" s="52"/>
      <c r="O71" s="52"/>
      <c r="P71" s="52"/>
      <c r="Q71" s="52"/>
      <c r="R71" s="52"/>
      <c r="S71" s="52"/>
      <c r="T71" s="52"/>
      <c r="U71" s="52"/>
      <c r="V71" s="52"/>
      <c r="W71" s="52"/>
      <c r="X71" s="52"/>
      <c r="Y71" s="57"/>
    </row>
    <row r="72" spans="2:25" x14ac:dyDescent="0.35">
      <c r="B72" s="56"/>
      <c r="C72" s="52"/>
      <c r="D72" s="52"/>
      <c r="E72" s="52"/>
      <c r="F72" s="52"/>
      <c r="G72" s="52"/>
      <c r="H72" s="52"/>
      <c r="I72" s="52"/>
      <c r="J72" s="52"/>
      <c r="K72" s="52"/>
      <c r="L72" s="52"/>
      <c r="M72" s="52"/>
      <c r="N72" s="52"/>
      <c r="O72" s="52"/>
      <c r="P72" s="52"/>
      <c r="Q72" s="52"/>
      <c r="R72" s="52"/>
      <c r="S72" s="52"/>
      <c r="T72" s="52"/>
      <c r="U72" s="52"/>
      <c r="V72" s="52"/>
      <c r="W72" s="52"/>
      <c r="X72" s="52"/>
      <c r="Y72" s="57"/>
    </row>
    <row r="73" spans="2:25" x14ac:dyDescent="0.35">
      <c r="B73" s="56"/>
      <c r="C73" s="52"/>
      <c r="D73" s="52"/>
      <c r="E73" s="52"/>
      <c r="F73" s="52"/>
      <c r="G73" s="52"/>
      <c r="H73" s="52"/>
      <c r="I73" s="52"/>
      <c r="J73" s="52"/>
      <c r="K73" s="52"/>
      <c r="L73" s="52"/>
      <c r="M73" s="52"/>
      <c r="N73" s="52"/>
      <c r="O73" s="52"/>
      <c r="P73" s="52"/>
      <c r="Q73" s="52"/>
      <c r="R73" s="52"/>
      <c r="S73" s="52"/>
      <c r="T73" s="52"/>
      <c r="U73" s="52"/>
      <c r="V73" s="52"/>
      <c r="W73" s="52"/>
      <c r="X73" s="52"/>
      <c r="Y73" s="57"/>
    </row>
    <row r="74" spans="2:25" x14ac:dyDescent="0.35">
      <c r="B74" s="56"/>
      <c r="C74" s="52"/>
      <c r="D74" s="52"/>
      <c r="E74" s="52"/>
      <c r="F74" s="52"/>
      <c r="G74" s="52"/>
      <c r="H74" s="52"/>
      <c r="I74" s="52"/>
      <c r="J74" s="52"/>
      <c r="K74" s="52"/>
      <c r="L74" s="52"/>
      <c r="M74" s="52"/>
      <c r="N74" s="52"/>
      <c r="O74" s="52"/>
      <c r="P74" s="52"/>
      <c r="Q74" s="52"/>
      <c r="R74" s="52"/>
      <c r="S74" s="52"/>
      <c r="T74" s="52"/>
      <c r="U74" s="52"/>
      <c r="V74" s="52"/>
      <c r="W74" s="52"/>
      <c r="X74" s="52"/>
      <c r="Y74" s="57"/>
    </row>
    <row r="75" spans="2:25" x14ac:dyDescent="0.35">
      <c r="B75" s="56"/>
      <c r="C75" s="52"/>
      <c r="D75" s="52"/>
      <c r="E75" s="52"/>
      <c r="F75" s="52"/>
      <c r="G75" s="52"/>
      <c r="H75" s="52"/>
      <c r="I75" s="52"/>
      <c r="J75" s="52"/>
      <c r="K75" s="52"/>
      <c r="L75" s="52"/>
      <c r="M75" s="52"/>
      <c r="N75" s="52"/>
      <c r="O75" s="52"/>
      <c r="P75" s="52"/>
      <c r="Q75" s="52"/>
      <c r="R75" s="52"/>
      <c r="S75" s="52"/>
      <c r="T75" s="52"/>
      <c r="U75" s="52"/>
      <c r="V75" s="52"/>
      <c r="W75" s="52"/>
      <c r="X75" s="52"/>
      <c r="Y75" s="57"/>
    </row>
    <row r="76" spans="2:25" x14ac:dyDescent="0.35">
      <c r="B76" s="56"/>
      <c r="C76" s="52"/>
      <c r="D76" s="52"/>
      <c r="E76" s="52"/>
      <c r="F76" s="52"/>
      <c r="G76" s="52"/>
      <c r="H76" s="52"/>
      <c r="I76" s="52"/>
      <c r="J76" s="52"/>
      <c r="K76" s="52"/>
      <c r="L76" s="52"/>
      <c r="M76" s="52"/>
      <c r="N76" s="52"/>
      <c r="O76" s="52"/>
      <c r="P76" s="52"/>
      <c r="Q76" s="52"/>
      <c r="R76" s="52"/>
      <c r="S76" s="52"/>
      <c r="T76" s="52"/>
      <c r="U76" s="52"/>
      <c r="V76" s="52"/>
      <c r="W76" s="52"/>
      <c r="X76" s="52"/>
      <c r="Y76" s="57"/>
    </row>
    <row r="77" spans="2:25" x14ac:dyDescent="0.35">
      <c r="B77" s="56"/>
      <c r="C77" s="52"/>
      <c r="D77" s="52"/>
      <c r="E77" s="52"/>
      <c r="F77" s="52"/>
      <c r="G77" s="52"/>
      <c r="H77" s="52"/>
      <c r="I77" s="52"/>
      <c r="J77" s="52"/>
      <c r="K77" s="52"/>
      <c r="L77" s="52"/>
      <c r="M77" s="52"/>
      <c r="N77" s="52"/>
      <c r="O77" s="52"/>
      <c r="P77" s="52"/>
      <c r="Q77" s="52"/>
      <c r="R77" s="52"/>
      <c r="S77" s="52"/>
      <c r="T77" s="52"/>
      <c r="U77" s="52"/>
      <c r="V77" s="52"/>
      <c r="W77" s="52"/>
      <c r="X77" s="52"/>
      <c r="Y77" s="57"/>
    </row>
    <row r="78" spans="2:25" x14ac:dyDescent="0.35">
      <c r="B78" s="56"/>
      <c r="C78" s="52"/>
      <c r="D78" s="52"/>
      <c r="E78" s="52"/>
      <c r="F78" s="52"/>
      <c r="G78" s="52"/>
      <c r="H78" s="52"/>
      <c r="I78" s="52"/>
      <c r="J78" s="52"/>
      <c r="K78" s="52"/>
      <c r="L78" s="52"/>
      <c r="M78" s="52"/>
      <c r="N78" s="52"/>
      <c r="O78" s="52"/>
      <c r="P78" s="52"/>
      <c r="Q78" s="52"/>
      <c r="R78" s="52"/>
      <c r="S78" s="52"/>
      <c r="T78" s="52"/>
      <c r="U78" s="52"/>
      <c r="V78" s="52"/>
      <c r="W78" s="52"/>
      <c r="X78" s="52"/>
      <c r="Y78" s="57"/>
    </row>
    <row r="79" spans="2:25" x14ac:dyDescent="0.35">
      <c r="B79" s="56"/>
      <c r="C79" s="52"/>
      <c r="D79" s="52"/>
      <c r="E79" s="52"/>
      <c r="F79" s="52"/>
      <c r="G79" s="52"/>
      <c r="H79" s="52"/>
      <c r="I79" s="52"/>
      <c r="J79" s="52"/>
      <c r="K79" s="52"/>
      <c r="L79" s="52"/>
      <c r="M79" s="52"/>
      <c r="N79" s="52"/>
      <c r="O79" s="52"/>
      <c r="P79" s="52"/>
      <c r="Q79" s="52"/>
      <c r="R79" s="52"/>
      <c r="S79" s="52"/>
      <c r="T79" s="52"/>
      <c r="U79" s="52"/>
      <c r="V79" s="52"/>
      <c r="W79" s="52"/>
      <c r="X79" s="52"/>
      <c r="Y79" s="57"/>
    </row>
    <row r="80" spans="2:25" x14ac:dyDescent="0.35">
      <c r="B80" s="56"/>
      <c r="C80" s="52"/>
      <c r="D80" s="52"/>
      <c r="E80" s="52"/>
      <c r="F80" s="52"/>
      <c r="G80" s="52"/>
      <c r="H80" s="52"/>
      <c r="I80" s="52"/>
      <c r="J80" s="52"/>
      <c r="K80" s="52"/>
      <c r="L80" s="52"/>
      <c r="M80" s="52"/>
      <c r="N80" s="52"/>
      <c r="O80" s="52"/>
      <c r="P80" s="52"/>
      <c r="Q80" s="52"/>
      <c r="R80" s="52"/>
      <c r="S80" s="52"/>
      <c r="T80" s="52"/>
      <c r="U80" s="52"/>
      <c r="V80" s="52"/>
      <c r="W80" s="52"/>
      <c r="X80" s="52"/>
      <c r="Y80" s="57"/>
    </row>
    <row r="81" spans="2:25" x14ac:dyDescent="0.35">
      <c r="B81" s="56"/>
      <c r="C81" s="52"/>
      <c r="D81" s="52"/>
      <c r="E81" s="52"/>
      <c r="F81" s="52"/>
      <c r="G81" s="52"/>
      <c r="H81" s="52"/>
      <c r="I81" s="52"/>
      <c r="J81" s="52"/>
      <c r="K81" s="52"/>
      <c r="L81" s="52"/>
      <c r="M81" s="52"/>
      <c r="N81" s="52"/>
      <c r="O81" s="52"/>
      <c r="P81" s="52"/>
      <c r="Q81" s="52"/>
      <c r="R81" s="52"/>
      <c r="S81" s="52"/>
      <c r="T81" s="52"/>
      <c r="U81" s="52"/>
      <c r="V81" s="52"/>
      <c r="W81" s="52"/>
      <c r="X81" s="52"/>
      <c r="Y81" s="57"/>
    </row>
    <row r="82" spans="2:25" x14ac:dyDescent="0.35">
      <c r="B82" s="56"/>
      <c r="C82" s="52"/>
      <c r="D82" s="52"/>
      <c r="E82" s="52"/>
      <c r="F82" s="52"/>
      <c r="G82" s="52"/>
      <c r="H82" s="52"/>
      <c r="I82" s="52"/>
      <c r="J82" s="52"/>
      <c r="K82" s="52"/>
      <c r="L82" s="52"/>
      <c r="M82" s="52"/>
      <c r="N82" s="52"/>
      <c r="O82" s="52"/>
      <c r="P82" s="52"/>
      <c r="Q82" s="52"/>
      <c r="R82" s="52"/>
      <c r="S82" s="52"/>
      <c r="T82" s="52"/>
      <c r="U82" s="52"/>
      <c r="V82" s="52"/>
      <c r="W82" s="52"/>
      <c r="X82" s="52"/>
      <c r="Y82" s="57"/>
    </row>
    <row r="83" spans="2:25" x14ac:dyDescent="0.35">
      <c r="B83" s="56"/>
      <c r="C83" s="52"/>
      <c r="D83" s="52"/>
      <c r="E83" s="52"/>
      <c r="F83" s="52"/>
      <c r="G83" s="52"/>
      <c r="H83" s="52"/>
      <c r="I83" s="52"/>
      <c r="J83" s="52"/>
      <c r="K83" s="52"/>
      <c r="L83" s="52"/>
      <c r="M83" s="52"/>
      <c r="N83" s="52"/>
      <c r="O83" s="52"/>
      <c r="P83" s="52"/>
      <c r="Q83" s="52"/>
      <c r="R83" s="52"/>
      <c r="S83" s="52"/>
      <c r="T83" s="52"/>
      <c r="U83" s="52"/>
      <c r="V83" s="52"/>
      <c r="W83" s="52"/>
      <c r="X83" s="52"/>
      <c r="Y83" s="57"/>
    </row>
    <row r="84" spans="2:25" x14ac:dyDescent="0.35">
      <c r="B84" s="56"/>
      <c r="C84" s="52"/>
      <c r="D84" s="52"/>
      <c r="E84" s="52"/>
      <c r="F84" s="52"/>
      <c r="G84" s="52"/>
      <c r="H84" s="52"/>
      <c r="I84" s="52"/>
      <c r="J84" s="52"/>
      <c r="K84" s="52"/>
      <c r="L84" s="52"/>
      <c r="M84" s="52"/>
      <c r="N84" s="52"/>
      <c r="O84" s="52"/>
      <c r="P84" s="52"/>
      <c r="Q84" s="52"/>
      <c r="R84" s="52"/>
      <c r="S84" s="52"/>
      <c r="T84" s="52"/>
      <c r="U84" s="52"/>
      <c r="V84" s="52"/>
      <c r="W84" s="52"/>
      <c r="X84" s="52"/>
      <c r="Y84" s="57"/>
    </row>
    <row r="85" spans="2:25" x14ac:dyDescent="0.35">
      <c r="B85" s="56"/>
      <c r="C85" s="52"/>
      <c r="D85" s="52"/>
      <c r="E85" s="52"/>
      <c r="F85" s="52"/>
      <c r="G85" s="52"/>
      <c r="H85" s="52"/>
      <c r="I85" s="52"/>
      <c r="J85" s="52"/>
      <c r="K85" s="52"/>
      <c r="L85" s="52"/>
      <c r="M85" s="52"/>
      <c r="N85" s="52"/>
      <c r="O85" s="52"/>
      <c r="P85" s="52"/>
      <c r="Q85" s="52"/>
      <c r="R85" s="52"/>
      <c r="S85" s="52"/>
      <c r="T85" s="52"/>
      <c r="U85" s="52"/>
      <c r="V85" s="52"/>
      <c r="W85" s="52"/>
      <c r="X85" s="52"/>
      <c r="Y85" s="57"/>
    </row>
    <row r="86" spans="2:25" x14ac:dyDescent="0.35">
      <c r="B86" s="56"/>
      <c r="C86" s="52"/>
      <c r="D86" s="52"/>
      <c r="E86" s="52"/>
      <c r="F86" s="52"/>
      <c r="G86" s="52"/>
      <c r="H86" s="52"/>
      <c r="I86" s="52"/>
      <c r="J86" s="52"/>
      <c r="K86" s="52"/>
      <c r="L86" s="52"/>
      <c r="M86" s="52"/>
      <c r="N86" s="52"/>
      <c r="O86" s="52"/>
      <c r="P86" s="52"/>
      <c r="Q86" s="52"/>
      <c r="R86" s="52"/>
      <c r="S86" s="52"/>
      <c r="T86" s="52"/>
      <c r="U86" s="52"/>
      <c r="V86" s="52"/>
      <c r="W86" s="52"/>
      <c r="X86" s="52"/>
      <c r="Y86" s="57"/>
    </row>
    <row r="87" spans="2:25" x14ac:dyDescent="0.35">
      <c r="B87" s="56"/>
      <c r="C87" s="52"/>
      <c r="D87" s="52"/>
      <c r="E87" s="52"/>
      <c r="F87" s="52"/>
      <c r="G87" s="52"/>
      <c r="H87" s="52"/>
      <c r="I87" s="52"/>
      <c r="J87" s="52"/>
      <c r="K87" s="52"/>
      <c r="L87" s="52"/>
      <c r="M87" s="52"/>
      <c r="N87" s="52"/>
      <c r="O87" s="52"/>
      <c r="P87" s="52"/>
      <c r="Q87" s="52"/>
      <c r="R87" s="52"/>
      <c r="S87" s="52"/>
      <c r="T87" s="52"/>
      <c r="U87" s="52"/>
      <c r="V87" s="52"/>
      <c r="W87" s="52"/>
      <c r="X87" s="52"/>
      <c r="Y87" s="57"/>
    </row>
    <row r="88" spans="2:25" x14ac:dyDescent="0.35">
      <c r="B88" s="56"/>
      <c r="C88" s="52"/>
      <c r="D88" s="52"/>
      <c r="E88" s="52"/>
      <c r="F88" s="52"/>
      <c r="G88" s="52"/>
      <c r="H88" s="52"/>
      <c r="I88" s="52"/>
      <c r="J88" s="52"/>
      <c r="K88" s="52"/>
      <c r="L88" s="52"/>
      <c r="M88" s="52"/>
      <c r="N88" s="52"/>
      <c r="O88" s="52"/>
      <c r="P88" s="52"/>
      <c r="Q88" s="52"/>
      <c r="R88" s="52"/>
      <c r="S88" s="52"/>
      <c r="T88" s="52"/>
      <c r="U88" s="52"/>
      <c r="V88" s="52"/>
      <c r="W88" s="52"/>
      <c r="X88" s="52"/>
      <c r="Y88" s="57"/>
    </row>
    <row r="89" spans="2:25" x14ac:dyDescent="0.35">
      <c r="B89" s="56"/>
      <c r="C89" s="52"/>
      <c r="D89" s="52"/>
      <c r="E89" s="52"/>
      <c r="F89" s="52"/>
      <c r="G89" s="52"/>
      <c r="H89" s="52"/>
      <c r="I89" s="52"/>
      <c r="J89" s="52"/>
      <c r="K89" s="52"/>
      <c r="L89" s="52"/>
      <c r="M89" s="52"/>
      <c r="N89" s="52"/>
      <c r="O89" s="52"/>
      <c r="P89" s="52"/>
      <c r="Q89" s="52"/>
      <c r="R89" s="52"/>
      <c r="S89" s="52"/>
      <c r="T89" s="52"/>
      <c r="U89" s="52"/>
      <c r="V89" s="52"/>
      <c r="W89" s="52"/>
      <c r="X89" s="52"/>
      <c r="Y89" s="57"/>
    </row>
    <row r="90" spans="2:25" ht="15" thickBot="1" x14ac:dyDescent="0.4">
      <c r="B90" s="56"/>
      <c r="C90" s="52"/>
      <c r="D90" s="52"/>
      <c r="E90" s="52"/>
      <c r="F90" s="52"/>
      <c r="G90" s="52"/>
      <c r="H90" s="52"/>
      <c r="I90" s="52"/>
      <c r="J90" s="52"/>
      <c r="K90" s="52"/>
      <c r="L90" s="52"/>
      <c r="M90" s="52"/>
      <c r="N90" s="52"/>
      <c r="O90" s="52"/>
      <c r="P90" s="52"/>
      <c r="Q90" s="52"/>
      <c r="R90" s="52"/>
      <c r="S90" s="52"/>
      <c r="T90" s="52"/>
      <c r="U90" s="52"/>
      <c r="V90" s="52"/>
      <c r="W90" s="52"/>
      <c r="X90" s="52"/>
      <c r="Y90" s="57"/>
    </row>
    <row r="91" spans="2:25" ht="15" thickBot="1" x14ac:dyDescent="0.4">
      <c r="B91" s="85" t="s">
        <v>623</v>
      </c>
      <c r="C91" s="52"/>
      <c r="D91" s="52"/>
      <c r="E91" s="52"/>
      <c r="F91" s="52"/>
      <c r="G91" s="52"/>
      <c r="H91" s="52"/>
      <c r="I91" s="52"/>
      <c r="J91" s="52"/>
      <c r="K91" s="52"/>
      <c r="L91" s="52"/>
      <c r="M91" s="52"/>
      <c r="N91" s="85" t="s">
        <v>624</v>
      </c>
      <c r="O91" s="52"/>
      <c r="P91" s="52"/>
      <c r="Q91" s="52"/>
      <c r="R91" s="52"/>
      <c r="S91" s="52"/>
      <c r="T91" s="52"/>
      <c r="U91" s="52"/>
      <c r="V91" s="52"/>
      <c r="W91" s="52"/>
      <c r="X91" s="52"/>
      <c r="Y91" s="57"/>
    </row>
    <row r="92" spans="2:25" x14ac:dyDescent="0.35">
      <c r="B92" s="56"/>
      <c r="C92" s="52"/>
      <c r="D92" s="52"/>
      <c r="E92" s="52"/>
      <c r="F92" s="52"/>
      <c r="G92" s="52"/>
      <c r="H92" s="52"/>
      <c r="I92" s="52"/>
      <c r="J92" s="52"/>
      <c r="K92" s="52"/>
      <c r="L92" s="52"/>
      <c r="M92" s="52"/>
      <c r="N92" s="52"/>
      <c r="O92" s="52"/>
      <c r="P92" s="52"/>
      <c r="Q92" s="52"/>
      <c r="R92" s="52"/>
      <c r="S92" s="52"/>
      <c r="T92" s="52"/>
      <c r="U92" s="52"/>
      <c r="V92" s="52"/>
      <c r="W92" s="52"/>
      <c r="X92" s="52"/>
      <c r="Y92" s="57"/>
    </row>
    <row r="93" spans="2:25" x14ac:dyDescent="0.35">
      <c r="B93" s="56"/>
      <c r="C93" s="52"/>
      <c r="D93" s="52"/>
      <c r="E93" s="52"/>
      <c r="F93" s="52"/>
      <c r="G93" s="52"/>
      <c r="H93" s="52"/>
      <c r="I93" s="52"/>
      <c r="J93" s="52"/>
      <c r="K93" s="52"/>
      <c r="L93" s="52"/>
      <c r="M93" s="52"/>
      <c r="N93" s="52"/>
      <c r="O93" s="52"/>
      <c r="P93" s="52"/>
      <c r="Q93" s="52"/>
      <c r="R93" s="52"/>
      <c r="S93" s="52"/>
      <c r="T93" s="52"/>
      <c r="U93" s="52"/>
      <c r="V93" s="52"/>
      <c r="W93" s="52"/>
      <c r="X93" s="52"/>
      <c r="Y93" s="57"/>
    </row>
    <row r="94" spans="2:25" x14ac:dyDescent="0.35">
      <c r="B94" s="56"/>
      <c r="C94" s="52"/>
      <c r="D94" s="52"/>
      <c r="E94" s="52"/>
      <c r="F94" s="52"/>
      <c r="G94" s="52"/>
      <c r="H94" s="52"/>
      <c r="I94" s="52"/>
      <c r="J94" s="52"/>
      <c r="K94" s="52"/>
      <c r="L94" s="52"/>
      <c r="M94" s="52"/>
      <c r="N94" s="52"/>
      <c r="O94" s="52"/>
      <c r="P94" s="52"/>
      <c r="Q94" s="52"/>
      <c r="R94" s="52"/>
      <c r="S94" s="52"/>
      <c r="T94" s="52"/>
      <c r="U94" s="52"/>
      <c r="V94" s="52"/>
      <c r="W94" s="52"/>
      <c r="X94" s="52"/>
      <c r="Y94" s="57"/>
    </row>
    <row r="95" spans="2:25" x14ac:dyDescent="0.35">
      <c r="B95" s="56"/>
      <c r="C95" s="52"/>
      <c r="D95" s="52"/>
      <c r="E95" s="52"/>
      <c r="F95" s="52"/>
      <c r="G95" s="52"/>
      <c r="H95" s="52"/>
      <c r="I95" s="52"/>
      <c r="J95" s="52"/>
      <c r="K95" s="52"/>
      <c r="L95" s="52"/>
      <c r="M95" s="52"/>
      <c r="N95" s="52"/>
      <c r="O95" s="52"/>
      <c r="P95" s="52"/>
      <c r="Q95" s="52"/>
      <c r="R95" s="52"/>
      <c r="S95" s="52"/>
      <c r="T95" s="52"/>
      <c r="U95" s="52"/>
      <c r="V95" s="52"/>
      <c r="W95" s="52"/>
      <c r="X95" s="52"/>
      <c r="Y95" s="57"/>
    </row>
    <row r="96" spans="2:25" x14ac:dyDescent="0.35">
      <c r="B96" s="56"/>
      <c r="C96" s="52"/>
      <c r="D96" s="52"/>
      <c r="E96" s="52"/>
      <c r="F96" s="52"/>
      <c r="G96" s="52"/>
      <c r="H96" s="52"/>
      <c r="I96" s="52"/>
      <c r="J96" s="52"/>
      <c r="K96" s="52"/>
      <c r="L96" s="52"/>
      <c r="M96" s="52"/>
      <c r="N96" s="52"/>
      <c r="O96" s="52"/>
      <c r="P96" s="52"/>
      <c r="Q96" s="52"/>
      <c r="R96" s="52"/>
      <c r="S96" s="52"/>
      <c r="T96" s="52"/>
      <c r="U96" s="52"/>
      <c r="V96" s="52"/>
      <c r="W96" s="52"/>
      <c r="X96" s="52"/>
      <c r="Y96" s="57"/>
    </row>
    <row r="97" spans="2:25" x14ac:dyDescent="0.35">
      <c r="B97" s="56"/>
      <c r="C97" s="52"/>
      <c r="D97" s="52"/>
      <c r="E97" s="52"/>
      <c r="F97" s="52"/>
      <c r="G97" s="52"/>
      <c r="H97" s="52"/>
      <c r="I97" s="52"/>
      <c r="J97" s="52"/>
      <c r="K97" s="52"/>
      <c r="L97" s="52"/>
      <c r="M97" s="52"/>
      <c r="N97" s="52"/>
      <c r="O97" s="52"/>
      <c r="P97" s="52"/>
      <c r="Q97" s="52"/>
      <c r="R97" s="52"/>
      <c r="S97" s="52"/>
      <c r="T97" s="52"/>
      <c r="U97" s="52"/>
      <c r="V97" s="52"/>
      <c r="W97" s="52"/>
      <c r="X97" s="52"/>
      <c r="Y97" s="57"/>
    </row>
    <row r="98" spans="2:25" x14ac:dyDescent="0.35">
      <c r="B98" s="56"/>
      <c r="C98" s="52"/>
      <c r="D98" s="52"/>
      <c r="E98" s="52"/>
      <c r="F98" s="52"/>
      <c r="G98" s="52"/>
      <c r="H98" s="52"/>
      <c r="I98" s="52"/>
      <c r="J98" s="52"/>
      <c r="K98" s="52"/>
      <c r="L98" s="52"/>
      <c r="M98" s="52"/>
      <c r="N98" s="52"/>
      <c r="O98" s="52"/>
      <c r="P98" s="52"/>
      <c r="Q98" s="52"/>
      <c r="R98" s="52"/>
      <c r="S98" s="52"/>
      <c r="T98" s="52"/>
      <c r="U98" s="52"/>
      <c r="V98" s="52"/>
      <c r="W98" s="52"/>
      <c r="X98" s="52"/>
      <c r="Y98" s="57"/>
    </row>
    <row r="99" spans="2:25" x14ac:dyDescent="0.35">
      <c r="B99" s="56"/>
      <c r="C99" s="52"/>
      <c r="D99" s="52"/>
      <c r="E99" s="52"/>
      <c r="F99" s="52"/>
      <c r="G99" s="52"/>
      <c r="H99" s="52"/>
      <c r="I99" s="52"/>
      <c r="J99" s="52"/>
      <c r="K99" s="52"/>
      <c r="L99" s="52"/>
      <c r="M99" s="52"/>
      <c r="N99" s="52"/>
      <c r="O99" s="52"/>
      <c r="P99" s="52"/>
      <c r="Q99" s="52"/>
      <c r="R99" s="52"/>
      <c r="S99" s="52"/>
      <c r="T99" s="52"/>
      <c r="U99" s="52"/>
      <c r="V99" s="52"/>
      <c r="W99" s="52"/>
      <c r="X99" s="52"/>
      <c r="Y99" s="57"/>
    </row>
    <row r="100" spans="2:25" x14ac:dyDescent="0.35">
      <c r="B100" s="56"/>
      <c r="C100" s="52"/>
      <c r="D100" s="52"/>
      <c r="E100" s="52"/>
      <c r="F100" s="52"/>
      <c r="G100" s="52"/>
      <c r="H100" s="52"/>
      <c r="I100" s="52"/>
      <c r="J100" s="52"/>
      <c r="K100" s="52"/>
      <c r="L100" s="52"/>
      <c r="M100" s="52"/>
      <c r="N100" s="52"/>
      <c r="O100" s="52"/>
      <c r="P100" s="52"/>
      <c r="Q100" s="52"/>
      <c r="R100" s="52"/>
      <c r="S100" s="52"/>
      <c r="T100" s="52"/>
      <c r="U100" s="52"/>
      <c r="V100" s="52"/>
      <c r="W100" s="52"/>
      <c r="X100" s="52"/>
      <c r="Y100" s="57"/>
    </row>
    <row r="101" spans="2:25" x14ac:dyDescent="0.35">
      <c r="B101" s="56"/>
      <c r="C101" s="52"/>
      <c r="D101" s="52"/>
      <c r="E101" s="52"/>
      <c r="F101" s="52"/>
      <c r="G101" s="52"/>
      <c r="H101" s="52"/>
      <c r="I101" s="52"/>
      <c r="J101" s="52"/>
      <c r="K101" s="52"/>
      <c r="L101" s="52"/>
      <c r="M101" s="52"/>
      <c r="N101" s="52"/>
      <c r="O101" s="52"/>
      <c r="P101" s="52"/>
      <c r="Q101" s="52"/>
      <c r="R101" s="52"/>
      <c r="S101" s="52"/>
      <c r="T101" s="52"/>
      <c r="U101" s="52"/>
      <c r="V101" s="52"/>
      <c r="W101" s="52"/>
      <c r="X101" s="52"/>
      <c r="Y101" s="57"/>
    </row>
    <row r="102" spans="2:25" x14ac:dyDescent="0.35">
      <c r="B102" s="56"/>
      <c r="C102" s="52"/>
      <c r="D102" s="52"/>
      <c r="E102" s="52"/>
      <c r="F102" s="52"/>
      <c r="G102" s="52"/>
      <c r="H102" s="52"/>
      <c r="I102" s="52"/>
      <c r="J102" s="52"/>
      <c r="K102" s="52"/>
      <c r="L102" s="52"/>
      <c r="M102" s="52"/>
      <c r="N102" s="52"/>
      <c r="O102" s="52"/>
      <c r="P102" s="52"/>
      <c r="Q102" s="52"/>
      <c r="R102" s="52"/>
      <c r="S102" s="52"/>
      <c r="T102" s="52"/>
      <c r="U102" s="52"/>
      <c r="V102" s="52"/>
      <c r="W102" s="52"/>
      <c r="X102" s="52"/>
      <c r="Y102" s="57"/>
    </row>
    <row r="103" spans="2:25" x14ac:dyDescent="0.35">
      <c r="B103" s="56"/>
      <c r="C103" s="52"/>
      <c r="D103" s="52"/>
      <c r="E103" s="52"/>
      <c r="F103" s="52"/>
      <c r="G103" s="52"/>
      <c r="H103" s="52"/>
      <c r="I103" s="52"/>
      <c r="J103" s="52"/>
      <c r="K103" s="52"/>
      <c r="L103" s="52"/>
      <c r="M103" s="52"/>
      <c r="N103" s="52"/>
      <c r="O103" s="52"/>
      <c r="P103" s="52"/>
      <c r="Q103" s="52"/>
      <c r="R103" s="52"/>
      <c r="S103" s="52"/>
      <c r="T103" s="52"/>
      <c r="U103" s="52"/>
      <c r="V103" s="52"/>
      <c r="W103" s="52"/>
      <c r="X103" s="52"/>
      <c r="Y103" s="57"/>
    </row>
    <row r="104" spans="2:25" x14ac:dyDescent="0.35">
      <c r="B104" s="56"/>
      <c r="C104" s="52"/>
      <c r="D104" s="52"/>
      <c r="E104" s="52"/>
      <c r="F104" s="52"/>
      <c r="G104" s="52"/>
      <c r="H104" s="52"/>
      <c r="I104" s="52"/>
      <c r="J104" s="52"/>
      <c r="K104" s="52"/>
      <c r="L104" s="52"/>
      <c r="M104" s="52"/>
      <c r="N104" s="52"/>
      <c r="O104" s="52"/>
      <c r="P104" s="52"/>
      <c r="Q104" s="52"/>
      <c r="R104" s="52"/>
      <c r="S104" s="52"/>
      <c r="T104" s="52"/>
      <c r="U104" s="52"/>
      <c r="V104" s="52"/>
      <c r="W104" s="52"/>
      <c r="X104" s="52"/>
      <c r="Y104" s="57"/>
    </row>
    <row r="105" spans="2:25" x14ac:dyDescent="0.35">
      <c r="B105" s="56"/>
      <c r="C105" s="52"/>
      <c r="D105" s="52"/>
      <c r="E105" s="52"/>
      <c r="F105" s="52"/>
      <c r="G105" s="52"/>
      <c r="H105" s="52"/>
      <c r="I105" s="52"/>
      <c r="J105" s="52"/>
      <c r="K105" s="52"/>
      <c r="L105" s="52"/>
      <c r="M105" s="52"/>
      <c r="N105" s="52"/>
      <c r="O105" s="52"/>
      <c r="P105" s="52"/>
      <c r="Q105" s="52"/>
      <c r="R105" s="52"/>
      <c r="S105" s="52"/>
      <c r="T105" s="52"/>
      <c r="U105" s="52"/>
      <c r="V105" s="52"/>
      <c r="W105" s="52"/>
      <c r="X105" s="52"/>
      <c r="Y105" s="57"/>
    </row>
    <row r="106" spans="2:25" x14ac:dyDescent="0.35">
      <c r="B106" s="56"/>
      <c r="C106" s="52"/>
      <c r="D106" s="52"/>
      <c r="E106" s="52"/>
      <c r="F106" s="52"/>
      <c r="G106" s="52"/>
      <c r="H106" s="52"/>
      <c r="I106" s="52"/>
      <c r="J106" s="52"/>
      <c r="K106" s="52"/>
      <c r="L106" s="52"/>
      <c r="M106" s="52"/>
      <c r="N106" s="52"/>
      <c r="O106" s="52"/>
      <c r="P106" s="52"/>
      <c r="Q106" s="52"/>
      <c r="R106" s="52"/>
      <c r="S106" s="52"/>
      <c r="T106" s="52"/>
      <c r="U106" s="52"/>
      <c r="V106" s="52"/>
      <c r="W106" s="52"/>
      <c r="X106" s="52"/>
      <c r="Y106" s="57"/>
    </row>
    <row r="107" spans="2:25" x14ac:dyDescent="0.35">
      <c r="B107" s="56"/>
      <c r="C107" s="52"/>
      <c r="D107" s="52"/>
      <c r="E107" s="52"/>
      <c r="F107" s="52"/>
      <c r="G107" s="52"/>
      <c r="H107" s="52"/>
      <c r="I107" s="52"/>
      <c r="J107" s="52"/>
      <c r="K107" s="52"/>
      <c r="L107" s="52"/>
      <c r="M107" s="52"/>
      <c r="N107" s="52"/>
      <c r="O107" s="52"/>
      <c r="P107" s="52"/>
      <c r="Q107" s="52"/>
      <c r="R107" s="52"/>
      <c r="S107" s="52"/>
      <c r="T107" s="52"/>
      <c r="U107" s="52"/>
      <c r="V107" s="52"/>
      <c r="W107" s="52"/>
      <c r="X107" s="52"/>
      <c r="Y107" s="57"/>
    </row>
    <row r="108" spans="2:25" x14ac:dyDescent="0.35">
      <c r="B108" s="56"/>
      <c r="C108" s="52"/>
      <c r="D108" s="52"/>
      <c r="E108" s="52"/>
      <c r="F108" s="52"/>
      <c r="G108" s="52"/>
      <c r="H108" s="52"/>
      <c r="I108" s="52"/>
      <c r="J108" s="52"/>
      <c r="K108" s="52"/>
      <c r="L108" s="52"/>
      <c r="M108" s="52"/>
      <c r="N108" s="52"/>
      <c r="O108" s="52"/>
      <c r="P108" s="52"/>
      <c r="Q108" s="52"/>
      <c r="R108" s="52"/>
      <c r="S108" s="52"/>
      <c r="T108" s="52"/>
      <c r="U108" s="52"/>
      <c r="V108" s="52"/>
      <c r="W108" s="52"/>
      <c r="X108" s="52"/>
      <c r="Y108" s="57"/>
    </row>
    <row r="109" spans="2:25" x14ac:dyDescent="0.35">
      <c r="B109" s="56"/>
      <c r="C109" s="52"/>
      <c r="D109" s="52"/>
      <c r="E109" s="52"/>
      <c r="F109" s="52"/>
      <c r="G109" s="52"/>
      <c r="H109" s="52"/>
      <c r="I109" s="52"/>
      <c r="J109" s="52"/>
      <c r="K109" s="52"/>
      <c r="L109" s="52"/>
      <c r="M109" s="52"/>
      <c r="N109" s="52"/>
      <c r="O109" s="52"/>
      <c r="P109" s="52"/>
      <c r="Q109" s="52"/>
      <c r="R109" s="52"/>
      <c r="S109" s="52"/>
      <c r="T109" s="52"/>
      <c r="U109" s="52"/>
      <c r="V109" s="52"/>
      <c r="W109" s="52"/>
      <c r="X109" s="52"/>
      <c r="Y109" s="57"/>
    </row>
    <row r="110" spans="2:25" x14ac:dyDescent="0.35">
      <c r="B110" s="56"/>
      <c r="C110" s="52"/>
      <c r="D110" s="52"/>
      <c r="E110" s="52"/>
      <c r="F110" s="52"/>
      <c r="G110" s="52"/>
      <c r="H110" s="52"/>
      <c r="I110" s="52"/>
      <c r="J110" s="52"/>
      <c r="K110" s="52"/>
      <c r="L110" s="52"/>
      <c r="M110" s="52"/>
      <c r="N110" s="52"/>
      <c r="O110" s="52"/>
      <c r="P110" s="52"/>
      <c r="Q110" s="52"/>
      <c r="R110" s="52"/>
      <c r="S110" s="52"/>
      <c r="T110" s="52"/>
      <c r="U110" s="52"/>
      <c r="V110" s="52"/>
      <c r="W110" s="52"/>
      <c r="X110" s="52"/>
      <c r="Y110" s="57"/>
    </row>
    <row r="111" spans="2:25" x14ac:dyDescent="0.35">
      <c r="B111" s="56"/>
      <c r="C111" s="52"/>
      <c r="D111" s="52"/>
      <c r="E111" s="52"/>
      <c r="F111" s="52"/>
      <c r="G111" s="52"/>
      <c r="H111" s="52"/>
      <c r="I111" s="52"/>
      <c r="J111" s="52"/>
      <c r="K111" s="52"/>
      <c r="L111" s="52"/>
      <c r="M111" s="52"/>
      <c r="N111" s="52"/>
      <c r="O111" s="52"/>
      <c r="P111" s="52"/>
      <c r="Q111" s="52"/>
      <c r="R111" s="52"/>
      <c r="S111" s="52"/>
      <c r="T111" s="52"/>
      <c r="U111" s="52"/>
      <c r="V111" s="52"/>
      <c r="W111" s="52"/>
      <c r="X111" s="52"/>
      <c r="Y111" s="57"/>
    </row>
    <row r="112" spans="2:25" x14ac:dyDescent="0.35">
      <c r="B112" s="56"/>
      <c r="C112" s="52"/>
      <c r="D112" s="52"/>
      <c r="E112" s="52"/>
      <c r="F112" s="52"/>
      <c r="G112" s="52"/>
      <c r="H112" s="52"/>
      <c r="I112" s="52"/>
      <c r="J112" s="52"/>
      <c r="K112" s="52"/>
      <c r="L112" s="52"/>
      <c r="M112" s="52"/>
      <c r="N112" s="52"/>
      <c r="O112" s="52"/>
      <c r="P112" s="52"/>
      <c r="Q112" s="52"/>
      <c r="R112" s="52"/>
      <c r="S112" s="52"/>
      <c r="T112" s="52"/>
      <c r="U112" s="52"/>
      <c r="V112" s="52"/>
      <c r="W112" s="52"/>
      <c r="X112" s="52"/>
      <c r="Y112" s="57"/>
    </row>
    <row r="113" spans="2:25" ht="15" thickBot="1" x14ac:dyDescent="0.4">
      <c r="B113" s="58"/>
      <c r="C113" s="59"/>
      <c r="D113" s="59"/>
      <c r="E113" s="59"/>
      <c r="F113" s="59"/>
      <c r="G113" s="59"/>
      <c r="H113" s="59"/>
      <c r="I113" s="59"/>
      <c r="J113" s="59"/>
      <c r="K113" s="59"/>
      <c r="L113" s="59"/>
      <c r="M113" s="59"/>
      <c r="N113" s="59"/>
      <c r="O113" s="59"/>
      <c r="P113" s="59"/>
      <c r="Q113" s="59"/>
      <c r="R113" s="59"/>
      <c r="S113" s="59"/>
      <c r="T113" s="59"/>
      <c r="U113" s="59"/>
      <c r="V113" s="59"/>
      <c r="W113" s="59"/>
      <c r="X113" s="59"/>
      <c r="Y113" s="6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3FD7-3219-43A7-8926-26C8067A650A}">
  <sheetPr>
    <tabColor theme="5" tint="0.59999389629810485"/>
  </sheetPr>
  <dimension ref="B1:X166"/>
  <sheetViews>
    <sheetView topLeftCell="A143" zoomScale="62" zoomScaleNormal="55" workbookViewId="0">
      <selection activeCell="G18" sqref="G18"/>
    </sheetView>
  </sheetViews>
  <sheetFormatPr defaultRowHeight="14.5" x14ac:dyDescent="0.35"/>
  <cols>
    <col min="2" max="2" width="19" customWidth="1"/>
    <col min="3" max="3" width="35.7265625" customWidth="1"/>
    <col min="4" max="4" width="19" customWidth="1"/>
    <col min="5" max="5" width="19.1796875" customWidth="1"/>
    <col min="6" max="6" width="30.453125" customWidth="1"/>
    <col min="7" max="7" width="18.81640625" customWidth="1"/>
    <col min="8" max="8" width="11.1796875" bestFit="1" customWidth="1"/>
    <col min="19" max="19" width="25.453125" customWidth="1"/>
    <col min="20" max="20" width="21.26953125" customWidth="1"/>
    <col min="21" max="21" width="23.453125" customWidth="1"/>
    <col min="22" max="22" width="21.7265625" customWidth="1"/>
    <col min="23" max="23" width="28.54296875" customWidth="1"/>
  </cols>
  <sheetData>
    <row r="1" spans="2:24" ht="44" thickBot="1" x14ac:dyDescent="0.4">
      <c r="B1" s="7" t="s">
        <v>625</v>
      </c>
      <c r="C1" s="7" t="s">
        <v>626</v>
      </c>
      <c r="D1" s="3" t="s">
        <v>627</v>
      </c>
      <c r="E1" s="3" t="s">
        <v>628</v>
      </c>
      <c r="F1" s="3" t="s">
        <v>629</v>
      </c>
      <c r="G1" s="4" t="s">
        <v>630</v>
      </c>
      <c r="T1" s="45"/>
      <c r="U1" s="46"/>
      <c r="V1" s="46"/>
      <c r="W1" s="46"/>
      <c r="X1" s="47"/>
    </row>
    <row r="2" spans="2:24" ht="15" thickTop="1" x14ac:dyDescent="0.35">
      <c r="B2" s="7" t="s">
        <v>631</v>
      </c>
      <c r="C2" s="4">
        <v>1100000</v>
      </c>
      <c r="D2" s="8"/>
      <c r="E2" s="4">
        <v>726900</v>
      </c>
      <c r="F2" s="4">
        <v>755907</v>
      </c>
      <c r="G2" s="43">
        <f>AVERAGE(E2:F2)</f>
        <v>741403.5</v>
      </c>
      <c r="T2" s="48"/>
      <c r="U2" s="49"/>
      <c r="V2" s="49"/>
      <c r="W2" s="49"/>
      <c r="X2" s="50"/>
    </row>
    <row r="3" spans="2:24" x14ac:dyDescent="0.35">
      <c r="B3" s="7" t="s">
        <v>632</v>
      </c>
      <c r="C3" s="4">
        <v>4000000</v>
      </c>
      <c r="D3" s="1">
        <v>3247162</v>
      </c>
      <c r="E3" s="1">
        <v>3068556</v>
      </c>
      <c r="F3" s="1">
        <v>2808487</v>
      </c>
      <c r="G3" s="44">
        <f>AVERAGE(D3:F3)</f>
        <v>3041401.6666666665</v>
      </c>
      <c r="T3" s="48"/>
      <c r="U3" s="51"/>
      <c r="V3" s="51"/>
      <c r="W3" s="51"/>
      <c r="X3" s="50"/>
    </row>
    <row r="4" spans="2:24" x14ac:dyDescent="0.35">
      <c r="B4" s="7" t="s">
        <v>633</v>
      </c>
      <c r="C4" s="4">
        <v>3000000</v>
      </c>
      <c r="D4" s="4">
        <v>2681469</v>
      </c>
      <c r="E4" s="4">
        <v>2755043</v>
      </c>
      <c r="F4" s="4">
        <v>2781839</v>
      </c>
      <c r="G4" s="44">
        <f t="shared" ref="G4:G13" si="0">AVERAGE(D4:F4)</f>
        <v>2739450.3333333335</v>
      </c>
      <c r="T4" s="48"/>
      <c r="U4" s="49"/>
      <c r="V4" s="49"/>
      <c r="W4" s="49"/>
      <c r="X4" s="50"/>
    </row>
    <row r="5" spans="2:24" ht="15.5" x14ac:dyDescent="0.35">
      <c r="B5" s="13" t="s">
        <v>634</v>
      </c>
      <c r="C5" s="4">
        <v>7920000</v>
      </c>
      <c r="D5" s="4">
        <v>416964</v>
      </c>
      <c r="E5" s="4">
        <v>2394022</v>
      </c>
      <c r="F5" s="4">
        <v>2798570</v>
      </c>
      <c r="G5" s="44">
        <f t="shared" si="0"/>
        <v>1869852</v>
      </c>
      <c r="T5" s="48"/>
      <c r="U5" s="49"/>
      <c r="V5" s="49"/>
      <c r="W5" s="49"/>
      <c r="X5" s="50"/>
    </row>
    <row r="6" spans="2:24" x14ac:dyDescent="0.35">
      <c r="B6" s="7" t="s">
        <v>635</v>
      </c>
      <c r="C6" s="4">
        <v>2500000</v>
      </c>
      <c r="D6" s="4">
        <v>1888783</v>
      </c>
      <c r="E6" s="4">
        <v>1822740</v>
      </c>
      <c r="F6" s="4">
        <v>2134091</v>
      </c>
      <c r="G6" s="44">
        <f t="shared" si="0"/>
        <v>1948538</v>
      </c>
      <c r="T6" s="48"/>
      <c r="U6" s="49"/>
      <c r="V6" s="49"/>
      <c r="W6" s="49"/>
      <c r="X6" s="50"/>
    </row>
    <row r="7" spans="2:24" x14ac:dyDescent="0.35">
      <c r="B7" s="7" t="s">
        <v>636</v>
      </c>
      <c r="C7" s="4">
        <v>3000000</v>
      </c>
      <c r="D7" s="4">
        <v>2225043</v>
      </c>
      <c r="E7" s="4">
        <v>2684861</v>
      </c>
      <c r="F7" s="4">
        <v>2464534</v>
      </c>
      <c r="G7" s="44">
        <f t="shared" si="0"/>
        <v>2458146</v>
      </c>
      <c r="T7" s="48"/>
      <c r="U7" s="49"/>
      <c r="V7" s="49"/>
      <c r="W7" s="49"/>
      <c r="X7" s="50"/>
    </row>
    <row r="8" spans="2:24" x14ac:dyDescent="0.35">
      <c r="B8" s="7" t="s">
        <v>637</v>
      </c>
      <c r="C8" s="4">
        <v>2380000</v>
      </c>
      <c r="D8" s="4">
        <v>2002282</v>
      </c>
      <c r="E8" s="4">
        <v>1708493</v>
      </c>
      <c r="F8" s="4">
        <v>1793851</v>
      </c>
      <c r="G8" s="44">
        <f t="shared" si="0"/>
        <v>1834875.3333333333</v>
      </c>
      <c r="T8" s="48"/>
      <c r="U8" s="49"/>
      <c r="V8" s="49"/>
      <c r="W8" s="49"/>
      <c r="X8" s="50"/>
    </row>
    <row r="9" spans="2:24" x14ac:dyDescent="0.35">
      <c r="B9" s="7" t="s">
        <v>638</v>
      </c>
      <c r="C9" s="4">
        <v>8000000</v>
      </c>
      <c r="D9" s="4">
        <v>2369348</v>
      </c>
      <c r="E9" s="4">
        <v>2457343</v>
      </c>
      <c r="F9" s="4">
        <v>3094172</v>
      </c>
      <c r="G9" s="44">
        <f t="shared" si="0"/>
        <v>2640287.6666666665</v>
      </c>
      <c r="T9" s="48"/>
      <c r="U9" s="49"/>
      <c r="V9" s="49"/>
      <c r="W9" s="49"/>
      <c r="X9" s="50"/>
    </row>
    <row r="10" spans="2:24" x14ac:dyDescent="0.35">
      <c r="B10" s="7" t="s">
        <v>639</v>
      </c>
      <c r="C10" s="4">
        <v>6000000</v>
      </c>
      <c r="D10" s="4">
        <v>2892955</v>
      </c>
      <c r="E10" s="4">
        <v>4874899</v>
      </c>
      <c r="F10" s="4">
        <v>5000370</v>
      </c>
      <c r="G10" s="44">
        <f t="shared" si="0"/>
        <v>4256074.666666667</v>
      </c>
      <c r="T10" s="48"/>
      <c r="U10" s="49"/>
      <c r="V10" s="49"/>
      <c r="W10" s="49"/>
      <c r="X10" s="50"/>
    </row>
    <row r="11" spans="2:24" x14ac:dyDescent="0.35">
      <c r="B11" s="7" t="s">
        <v>640</v>
      </c>
      <c r="C11" s="4">
        <v>3100000</v>
      </c>
      <c r="D11" s="4">
        <v>2691550</v>
      </c>
      <c r="E11" s="4">
        <v>3017866</v>
      </c>
      <c r="F11" s="4">
        <v>2700736</v>
      </c>
      <c r="G11" s="44">
        <f t="shared" si="0"/>
        <v>2803384</v>
      </c>
      <c r="T11" s="48"/>
      <c r="U11" s="49"/>
      <c r="V11" s="49"/>
      <c r="W11" s="49"/>
      <c r="X11" s="50"/>
    </row>
    <row r="12" spans="2:24" x14ac:dyDescent="0.35">
      <c r="B12" s="7" t="s">
        <v>641</v>
      </c>
      <c r="C12" s="4">
        <v>1815000</v>
      </c>
      <c r="D12" s="4">
        <v>1167062</v>
      </c>
      <c r="E12" s="4">
        <v>1297852</v>
      </c>
      <c r="F12" s="4">
        <v>144951</v>
      </c>
      <c r="G12" s="44">
        <f t="shared" si="0"/>
        <v>869955</v>
      </c>
      <c r="T12" s="48"/>
      <c r="U12" s="49"/>
      <c r="V12" s="49"/>
      <c r="W12" s="49"/>
      <c r="X12" s="50"/>
    </row>
    <row r="13" spans="2:24" x14ac:dyDescent="0.35">
      <c r="B13" s="15" t="s">
        <v>642</v>
      </c>
      <c r="C13" s="5">
        <v>3400000</v>
      </c>
      <c r="D13" s="4">
        <v>2781916</v>
      </c>
      <c r="E13" s="4">
        <v>2862114</v>
      </c>
      <c r="F13" s="4">
        <v>2940960</v>
      </c>
      <c r="G13" s="44">
        <f t="shared" si="0"/>
        <v>2861663.3333333335</v>
      </c>
    </row>
    <row r="17" spans="2:7" ht="15" thickBot="1" x14ac:dyDescent="0.4"/>
    <row r="18" spans="2:7" ht="60.5" thickBot="1" x14ac:dyDescent="0.4">
      <c r="B18" s="19" t="s">
        <v>0</v>
      </c>
      <c r="C18" s="20" t="s">
        <v>643</v>
      </c>
      <c r="D18" s="21" t="s">
        <v>644</v>
      </c>
      <c r="E18" s="23" t="s">
        <v>645</v>
      </c>
      <c r="F18" s="22" t="s">
        <v>644</v>
      </c>
      <c r="G18" t="s">
        <v>646</v>
      </c>
    </row>
    <row r="19" spans="2:7" x14ac:dyDescent="0.35">
      <c r="B19" s="16">
        <v>1</v>
      </c>
      <c r="C19" s="16" t="s">
        <v>141</v>
      </c>
      <c r="D19">
        <v>1</v>
      </c>
      <c r="E19" s="17" t="s">
        <v>148</v>
      </c>
      <c r="F19" t="s">
        <v>186</v>
      </c>
      <c r="G19">
        <v>11</v>
      </c>
    </row>
    <row r="20" spans="2:7" ht="24" x14ac:dyDescent="0.35">
      <c r="B20" s="16">
        <v>2</v>
      </c>
      <c r="C20" s="16" t="s">
        <v>191</v>
      </c>
      <c r="D20">
        <v>1</v>
      </c>
      <c r="E20" s="17" t="s">
        <v>148</v>
      </c>
      <c r="F20" t="s">
        <v>166</v>
      </c>
      <c r="G20">
        <v>1</v>
      </c>
    </row>
    <row r="21" spans="2:7" ht="24" x14ac:dyDescent="0.35">
      <c r="B21" s="16">
        <v>3</v>
      </c>
      <c r="C21" s="16" t="s">
        <v>239</v>
      </c>
      <c r="D21">
        <v>1</v>
      </c>
      <c r="E21" s="17" t="s">
        <v>148</v>
      </c>
    </row>
    <row r="22" spans="2:7" x14ac:dyDescent="0.35">
      <c r="B22" s="16">
        <v>4</v>
      </c>
      <c r="C22" s="16" t="s">
        <v>278</v>
      </c>
      <c r="D22">
        <v>1</v>
      </c>
      <c r="E22" s="17" t="s">
        <v>148</v>
      </c>
    </row>
    <row r="23" spans="2:7" ht="60" x14ac:dyDescent="0.35">
      <c r="B23" s="16">
        <v>5</v>
      </c>
      <c r="C23" s="16" t="s">
        <v>323</v>
      </c>
      <c r="D23">
        <v>1</v>
      </c>
      <c r="E23" s="17" t="s">
        <v>166</v>
      </c>
      <c r="F23" s="21" t="s">
        <v>647</v>
      </c>
      <c r="G23" s="21" t="s">
        <v>645</v>
      </c>
    </row>
    <row r="24" spans="2:7" ht="24" x14ac:dyDescent="0.35">
      <c r="B24" s="16">
        <v>6</v>
      </c>
      <c r="C24" s="16" t="s">
        <v>371</v>
      </c>
      <c r="D24">
        <v>1</v>
      </c>
      <c r="E24" s="17" t="s">
        <v>166</v>
      </c>
      <c r="F24" t="s">
        <v>186</v>
      </c>
      <c r="G24">
        <v>7</v>
      </c>
    </row>
    <row r="25" spans="2:7" ht="24" x14ac:dyDescent="0.35">
      <c r="B25" s="17">
        <v>7</v>
      </c>
      <c r="C25" s="16" t="s">
        <v>387</v>
      </c>
      <c r="D25">
        <v>1</v>
      </c>
      <c r="E25" s="17" t="s">
        <v>148</v>
      </c>
      <c r="F25" t="s">
        <v>166</v>
      </c>
      <c r="G25">
        <v>5</v>
      </c>
    </row>
    <row r="26" spans="2:7" ht="24" x14ac:dyDescent="0.35">
      <c r="B26" s="16">
        <v>8</v>
      </c>
      <c r="C26" s="16" t="s">
        <v>421</v>
      </c>
      <c r="D26">
        <v>1</v>
      </c>
      <c r="E26" s="17" t="s">
        <v>148</v>
      </c>
    </row>
    <row r="27" spans="2:7" ht="24" x14ac:dyDescent="0.35">
      <c r="B27" s="16">
        <v>9</v>
      </c>
      <c r="C27" s="16" t="s">
        <v>454</v>
      </c>
      <c r="D27">
        <v>1</v>
      </c>
      <c r="E27" s="17" t="s">
        <v>148</v>
      </c>
    </row>
    <row r="28" spans="2:7" x14ac:dyDescent="0.35">
      <c r="B28" s="16">
        <v>10</v>
      </c>
      <c r="C28" s="16" t="s">
        <v>648</v>
      </c>
      <c r="D28">
        <v>1</v>
      </c>
      <c r="E28" s="17" t="s">
        <v>166</v>
      </c>
    </row>
    <row r="29" spans="2:7" x14ac:dyDescent="0.35">
      <c r="B29" s="16">
        <v>11</v>
      </c>
      <c r="C29" s="16" t="s">
        <v>531</v>
      </c>
      <c r="D29">
        <v>0</v>
      </c>
      <c r="E29" s="17" t="s">
        <v>166</v>
      </c>
    </row>
    <row r="30" spans="2:7" x14ac:dyDescent="0.35">
      <c r="B30" s="16">
        <v>12</v>
      </c>
      <c r="C30" s="18" t="s">
        <v>554</v>
      </c>
      <c r="D30">
        <v>1</v>
      </c>
      <c r="E30" s="17" t="s">
        <v>166</v>
      </c>
    </row>
    <row r="38" spans="2:3" x14ac:dyDescent="0.35">
      <c r="B38" s="7" t="s">
        <v>625</v>
      </c>
      <c r="C38" s="3" t="s">
        <v>649</v>
      </c>
    </row>
    <row r="39" spans="2:3" x14ac:dyDescent="0.35">
      <c r="B39" s="7" t="s">
        <v>631</v>
      </c>
      <c r="C39" s="14">
        <v>0.8</v>
      </c>
    </row>
    <row r="40" spans="2:3" x14ac:dyDescent="0.35">
      <c r="B40" s="7" t="s">
        <v>632</v>
      </c>
      <c r="C40" s="14">
        <v>0.71040000000000003</v>
      </c>
    </row>
    <row r="41" spans="2:3" x14ac:dyDescent="0.35">
      <c r="B41" s="7" t="s">
        <v>633</v>
      </c>
      <c r="C41" s="24">
        <v>0.63</v>
      </c>
    </row>
    <row r="42" spans="2:3" ht="15.5" x14ac:dyDescent="0.35">
      <c r="B42" s="13" t="s">
        <v>634</v>
      </c>
      <c r="C42" s="14">
        <v>0.69389999999999996</v>
      </c>
    </row>
    <row r="43" spans="2:3" x14ac:dyDescent="0.35">
      <c r="B43" s="7" t="s">
        <v>635</v>
      </c>
      <c r="C43" s="14">
        <v>0.67889999999999995</v>
      </c>
    </row>
    <row r="44" spans="2:3" x14ac:dyDescent="0.35">
      <c r="B44" s="7" t="s">
        <v>636</v>
      </c>
      <c r="C44" s="14">
        <v>0.67889999999999995</v>
      </c>
    </row>
    <row r="45" spans="2:3" x14ac:dyDescent="0.35">
      <c r="B45" s="7" t="s">
        <v>637</v>
      </c>
      <c r="C45" s="14">
        <v>0.93759999999999999</v>
      </c>
    </row>
    <row r="46" spans="2:3" x14ac:dyDescent="0.35">
      <c r="B46" s="7" t="s">
        <v>638</v>
      </c>
      <c r="C46" s="14">
        <v>0.76100000000000001</v>
      </c>
    </row>
    <row r="47" spans="2:3" x14ac:dyDescent="0.35">
      <c r="B47" s="7" t="s">
        <v>639</v>
      </c>
      <c r="C47" s="14">
        <v>0.72119999999999995</v>
      </c>
    </row>
    <row r="48" spans="2:3" x14ac:dyDescent="0.35">
      <c r="B48" s="7" t="s">
        <v>641</v>
      </c>
      <c r="C48" s="14">
        <v>0.61519999999999997</v>
      </c>
    </row>
    <row r="49" spans="2:6" x14ac:dyDescent="0.35">
      <c r="B49" s="7" t="s">
        <v>642</v>
      </c>
      <c r="C49" s="14">
        <v>0.66439999999999999</v>
      </c>
    </row>
    <row r="50" spans="2:6" x14ac:dyDescent="0.35">
      <c r="B50" s="15"/>
      <c r="C50" s="14"/>
    </row>
    <row r="54" spans="2:6" ht="15" thickBot="1" x14ac:dyDescent="0.4"/>
    <row r="55" spans="2:6" ht="58.5" thickBot="1" x14ac:dyDescent="0.4">
      <c r="E55" s="32" t="s">
        <v>650</v>
      </c>
      <c r="F55" s="9" t="s">
        <v>35</v>
      </c>
    </row>
    <row r="56" spans="2:6" ht="44" thickBot="1" x14ac:dyDescent="0.4">
      <c r="B56" s="25" t="s">
        <v>651</v>
      </c>
      <c r="C56" s="9" t="s">
        <v>35</v>
      </c>
      <c r="E56" t="s">
        <v>186</v>
      </c>
      <c r="F56">
        <v>10</v>
      </c>
    </row>
    <row r="57" spans="2:6" ht="15" thickTop="1" x14ac:dyDescent="0.35">
      <c r="B57" s="26">
        <v>1</v>
      </c>
      <c r="C57" s="2" t="s">
        <v>148</v>
      </c>
      <c r="E57" t="s">
        <v>166</v>
      </c>
      <c r="F57">
        <v>1</v>
      </c>
    </row>
    <row r="58" spans="2:6" x14ac:dyDescent="0.35">
      <c r="B58" s="27">
        <v>2</v>
      </c>
      <c r="C58" s="2" t="s">
        <v>148</v>
      </c>
    </row>
    <row r="59" spans="2:6" x14ac:dyDescent="0.35">
      <c r="B59" s="26">
        <v>3</v>
      </c>
      <c r="C59" s="2" t="s">
        <v>148</v>
      </c>
    </row>
    <row r="60" spans="2:6" x14ac:dyDescent="0.35">
      <c r="B60" s="27">
        <v>4</v>
      </c>
      <c r="C60" s="5" t="s">
        <v>148</v>
      </c>
    </row>
    <row r="61" spans="2:6" x14ac:dyDescent="0.35">
      <c r="B61" s="26">
        <v>5</v>
      </c>
      <c r="C61" s="2" t="s">
        <v>148</v>
      </c>
    </row>
    <row r="62" spans="2:6" x14ac:dyDescent="0.35">
      <c r="B62" s="27">
        <v>6</v>
      </c>
      <c r="C62" s="2" t="s">
        <v>148</v>
      </c>
    </row>
    <row r="63" spans="2:6" x14ac:dyDescent="0.35">
      <c r="B63" s="26">
        <v>7</v>
      </c>
      <c r="C63" s="2" t="s">
        <v>148</v>
      </c>
    </row>
    <row r="64" spans="2:6" x14ac:dyDescent="0.35">
      <c r="B64" s="27">
        <v>8</v>
      </c>
      <c r="C64" s="2" t="s">
        <v>148</v>
      </c>
    </row>
    <row r="65" spans="2:4" x14ac:dyDescent="0.35">
      <c r="B65" s="26">
        <v>9</v>
      </c>
      <c r="C65" s="6"/>
    </row>
    <row r="66" spans="2:4" x14ac:dyDescent="0.35">
      <c r="B66" s="27">
        <v>10</v>
      </c>
      <c r="C66" s="2" t="s">
        <v>148</v>
      </c>
    </row>
    <row r="67" spans="2:4" x14ac:dyDescent="0.35">
      <c r="B67" s="28">
        <v>11</v>
      </c>
      <c r="C67" s="2" t="s">
        <v>166</v>
      </c>
    </row>
    <row r="68" spans="2:4" x14ac:dyDescent="0.35">
      <c r="B68" s="29">
        <v>12</v>
      </c>
      <c r="C68" s="5" t="s">
        <v>148</v>
      </c>
    </row>
    <row r="70" spans="2:4" ht="15" thickBot="1" x14ac:dyDescent="0.4"/>
    <row r="71" spans="2:4" ht="43.5" x14ac:dyDescent="0.35">
      <c r="B71" s="7" t="s">
        <v>625</v>
      </c>
      <c r="C71" s="30" t="s">
        <v>14</v>
      </c>
      <c r="D71" s="9"/>
    </row>
    <row r="72" spans="2:4" ht="15" thickBot="1" x14ac:dyDescent="0.4">
      <c r="B72" s="7" t="s">
        <v>631</v>
      </c>
      <c r="C72" s="31">
        <v>718</v>
      </c>
      <c r="D72" s="12"/>
    </row>
    <row r="73" spans="2:4" x14ac:dyDescent="0.35">
      <c r="B73" s="7" t="s">
        <v>632</v>
      </c>
      <c r="C73" s="31">
        <v>698</v>
      </c>
      <c r="D73" s="5"/>
    </row>
    <row r="74" spans="2:4" x14ac:dyDescent="0.35">
      <c r="B74" s="7" t="s">
        <v>633</v>
      </c>
      <c r="C74" s="31">
        <v>706.03</v>
      </c>
      <c r="D74" s="5"/>
    </row>
    <row r="75" spans="2:4" ht="15.5" x14ac:dyDescent="0.35">
      <c r="B75" s="13" t="s">
        <v>634</v>
      </c>
      <c r="C75" s="31">
        <v>728</v>
      </c>
      <c r="D75" s="5"/>
    </row>
    <row r="76" spans="2:4" x14ac:dyDescent="0.35">
      <c r="B76" s="7" t="s">
        <v>635</v>
      </c>
      <c r="C76" s="31">
        <v>726</v>
      </c>
      <c r="D76" s="5"/>
    </row>
    <row r="77" spans="2:4" x14ac:dyDescent="0.35">
      <c r="B77" s="7" t="s">
        <v>636</v>
      </c>
      <c r="C77" s="31">
        <v>734</v>
      </c>
      <c r="D77" s="5"/>
    </row>
    <row r="78" spans="2:4" x14ac:dyDescent="0.35">
      <c r="B78" s="7" t="s">
        <v>637</v>
      </c>
      <c r="C78" s="31">
        <v>706.75</v>
      </c>
      <c r="D78" s="5"/>
    </row>
    <row r="79" spans="2:4" x14ac:dyDescent="0.35">
      <c r="B79" s="7" t="s">
        <v>638</v>
      </c>
      <c r="C79" s="31">
        <v>764.26</v>
      </c>
      <c r="D79" s="5"/>
    </row>
    <row r="80" spans="2:4" x14ac:dyDescent="0.35">
      <c r="B80" s="7" t="s">
        <v>639</v>
      </c>
      <c r="C80" s="31">
        <v>698.43</v>
      </c>
      <c r="D80" s="5"/>
    </row>
    <row r="81" spans="2:6" x14ac:dyDescent="0.35">
      <c r="B81" s="7" t="s">
        <v>640</v>
      </c>
      <c r="C81" s="31">
        <v>740</v>
      </c>
      <c r="D81" s="5"/>
    </row>
    <row r="82" spans="2:6" x14ac:dyDescent="0.35">
      <c r="B82" s="7" t="s">
        <v>642</v>
      </c>
      <c r="C82" s="31">
        <v>775.59</v>
      </c>
      <c r="D82" s="5"/>
    </row>
    <row r="83" spans="2:6" ht="15" thickBot="1" x14ac:dyDescent="0.4">
      <c r="B83" s="15"/>
      <c r="C83" s="31"/>
      <c r="D83" s="5"/>
    </row>
    <row r="84" spans="2:6" ht="29.5" thickBot="1" x14ac:dyDescent="0.4">
      <c r="B84" s="39"/>
      <c r="C84" s="31"/>
      <c r="D84" s="5"/>
      <c r="E84" s="32" t="s">
        <v>650</v>
      </c>
      <c r="F84" s="10" t="s">
        <v>79</v>
      </c>
    </row>
    <row r="85" spans="2:6" ht="29.5" thickBot="1" x14ac:dyDescent="0.4">
      <c r="B85" s="25" t="s">
        <v>651</v>
      </c>
      <c r="C85" s="10" t="s">
        <v>79</v>
      </c>
      <c r="E85" t="s">
        <v>186</v>
      </c>
      <c r="F85">
        <v>3</v>
      </c>
    </row>
    <row r="86" spans="2:6" ht="15" thickTop="1" x14ac:dyDescent="0.35">
      <c r="B86" s="26">
        <v>1</v>
      </c>
      <c r="C86" s="5" t="s">
        <v>148</v>
      </c>
      <c r="E86" t="s">
        <v>166</v>
      </c>
      <c r="F86">
        <v>8</v>
      </c>
    </row>
    <row r="87" spans="2:6" x14ac:dyDescent="0.35">
      <c r="B87" s="27">
        <v>2</v>
      </c>
      <c r="C87" s="5" t="s">
        <v>166</v>
      </c>
    </row>
    <row r="88" spans="2:6" x14ac:dyDescent="0.35">
      <c r="B88" s="26">
        <v>3</v>
      </c>
      <c r="C88" s="5" t="s">
        <v>166</v>
      </c>
      <c r="D88" s="31"/>
    </row>
    <row r="89" spans="2:6" x14ac:dyDescent="0.35">
      <c r="B89" s="27">
        <v>4</v>
      </c>
      <c r="C89" s="5" t="s">
        <v>148</v>
      </c>
    </row>
    <row r="90" spans="2:6" x14ac:dyDescent="0.35">
      <c r="B90" s="26">
        <v>5</v>
      </c>
      <c r="C90" s="5" t="s">
        <v>166</v>
      </c>
    </row>
    <row r="91" spans="2:6" x14ac:dyDescent="0.35">
      <c r="B91" s="27">
        <v>6</v>
      </c>
      <c r="C91" s="5" t="s">
        <v>166</v>
      </c>
    </row>
    <row r="92" spans="2:6" x14ac:dyDescent="0.35">
      <c r="B92" s="26">
        <v>7</v>
      </c>
      <c r="C92" s="5" t="s">
        <v>166</v>
      </c>
    </row>
    <row r="93" spans="2:6" x14ac:dyDescent="0.35">
      <c r="B93" s="27">
        <v>8</v>
      </c>
      <c r="C93" s="5" t="s">
        <v>166</v>
      </c>
    </row>
    <row r="94" spans="2:6" x14ac:dyDescent="0.35">
      <c r="B94" s="26">
        <v>9</v>
      </c>
      <c r="C94" s="5" t="s">
        <v>166</v>
      </c>
    </row>
    <row r="95" spans="2:6" x14ac:dyDescent="0.35">
      <c r="B95" s="27">
        <v>10</v>
      </c>
      <c r="C95" s="5" t="s">
        <v>166</v>
      </c>
    </row>
    <row r="96" spans="2:6" x14ac:dyDescent="0.35">
      <c r="B96" s="28">
        <v>11</v>
      </c>
      <c r="C96" s="5" t="s">
        <v>166</v>
      </c>
    </row>
    <row r="99" spans="2:3" x14ac:dyDescent="0.35">
      <c r="B99" s="40" t="s">
        <v>652</v>
      </c>
    </row>
    <row r="100" spans="2:3" x14ac:dyDescent="0.35">
      <c r="B100" s="36">
        <v>1</v>
      </c>
      <c r="C100" s="34" t="s">
        <v>596</v>
      </c>
    </row>
    <row r="101" spans="2:3" ht="29" x14ac:dyDescent="0.35">
      <c r="B101" s="37">
        <v>2</v>
      </c>
      <c r="C101" s="42" t="s">
        <v>597</v>
      </c>
    </row>
    <row r="102" spans="2:3" x14ac:dyDescent="0.35">
      <c r="B102" s="37">
        <v>3</v>
      </c>
      <c r="C102" s="34" t="s">
        <v>598</v>
      </c>
    </row>
    <row r="103" spans="2:3" x14ac:dyDescent="0.35">
      <c r="B103" s="37">
        <v>4</v>
      </c>
      <c r="C103" s="34" t="s">
        <v>599</v>
      </c>
    </row>
    <row r="104" spans="2:3" x14ac:dyDescent="0.35">
      <c r="B104" s="37">
        <v>5</v>
      </c>
      <c r="C104" s="34" t="s">
        <v>600</v>
      </c>
    </row>
    <row r="105" spans="2:3" x14ac:dyDescent="0.35">
      <c r="B105" s="35"/>
    </row>
    <row r="106" spans="2:3" x14ac:dyDescent="0.35">
      <c r="B106" s="40" t="s">
        <v>653</v>
      </c>
    </row>
    <row r="107" spans="2:3" x14ac:dyDescent="0.35">
      <c r="B107" s="36">
        <v>1</v>
      </c>
      <c r="C107" s="34" t="s">
        <v>602</v>
      </c>
    </row>
    <row r="108" spans="2:3" x14ac:dyDescent="0.35">
      <c r="B108" s="37">
        <v>2</v>
      </c>
      <c r="C108" s="34" t="s">
        <v>603</v>
      </c>
    </row>
    <row r="109" spans="2:3" x14ac:dyDescent="0.35">
      <c r="B109" s="37">
        <v>3</v>
      </c>
      <c r="C109" s="34" t="s">
        <v>604</v>
      </c>
    </row>
    <row r="110" spans="2:3" x14ac:dyDescent="0.35">
      <c r="B110" s="37">
        <v>4</v>
      </c>
      <c r="C110" s="34" t="s">
        <v>605</v>
      </c>
    </row>
    <row r="111" spans="2:3" x14ac:dyDescent="0.35">
      <c r="B111" s="37">
        <v>5</v>
      </c>
      <c r="C111" s="34" t="s">
        <v>606</v>
      </c>
    </row>
    <row r="113" spans="2:6" ht="43.5" x14ac:dyDescent="0.35">
      <c r="B113" s="41" t="s">
        <v>654</v>
      </c>
    </row>
    <row r="114" spans="2:6" x14ac:dyDescent="0.35">
      <c r="C114" s="34" t="s">
        <v>608</v>
      </c>
    </row>
    <row r="115" spans="2:6" x14ac:dyDescent="0.35">
      <c r="C115" s="38" t="s">
        <v>655</v>
      </c>
    </row>
    <row r="116" spans="2:6" x14ac:dyDescent="0.35">
      <c r="C116" s="38" t="s">
        <v>656</v>
      </c>
    </row>
    <row r="118" spans="2:6" x14ac:dyDescent="0.35">
      <c r="C118" t="s">
        <v>613</v>
      </c>
    </row>
    <row r="119" spans="2:6" x14ac:dyDescent="0.35">
      <c r="C119" s="33" t="s">
        <v>657</v>
      </c>
    </row>
    <row r="120" spans="2:6" x14ac:dyDescent="0.35">
      <c r="C120" s="33" t="s">
        <v>615</v>
      </c>
    </row>
    <row r="121" spans="2:6" x14ac:dyDescent="0.35">
      <c r="C121" s="33" t="s">
        <v>616</v>
      </c>
    </row>
    <row r="122" spans="2:6" x14ac:dyDescent="0.35">
      <c r="C122" s="33" t="s">
        <v>617</v>
      </c>
    </row>
    <row r="123" spans="2:6" x14ac:dyDescent="0.35">
      <c r="C123" s="33" t="s">
        <v>618</v>
      </c>
    </row>
    <row r="124" spans="2:6" ht="15" thickBot="1" x14ac:dyDescent="0.4"/>
    <row r="125" spans="2:6" ht="73" thickBot="1" x14ac:dyDescent="0.4">
      <c r="E125" t="s">
        <v>658</v>
      </c>
      <c r="F125" s="10" t="s">
        <v>31</v>
      </c>
    </row>
    <row r="126" spans="2:6" ht="73" thickBot="1" x14ac:dyDescent="0.4">
      <c r="B126" s="25" t="s">
        <v>651</v>
      </c>
      <c r="C126" s="10" t="s">
        <v>31</v>
      </c>
      <c r="E126" t="s">
        <v>148</v>
      </c>
      <c r="F126">
        <v>10</v>
      </c>
    </row>
    <row r="127" spans="2:6" ht="15" thickTop="1" x14ac:dyDescent="0.35">
      <c r="B127" s="26">
        <v>1</v>
      </c>
      <c r="C127" s="2" t="s">
        <v>148</v>
      </c>
      <c r="E127" t="s">
        <v>166</v>
      </c>
      <c r="F127">
        <v>1</v>
      </c>
    </row>
    <row r="128" spans="2:6" x14ac:dyDescent="0.35">
      <c r="B128" s="27">
        <v>2</v>
      </c>
      <c r="C128" s="2" t="s">
        <v>148</v>
      </c>
    </row>
    <row r="129" spans="2:6" x14ac:dyDescent="0.35">
      <c r="B129" s="26">
        <v>3</v>
      </c>
      <c r="C129" s="2" t="s">
        <v>148</v>
      </c>
    </row>
    <row r="130" spans="2:6" x14ac:dyDescent="0.35">
      <c r="B130" s="27">
        <v>4</v>
      </c>
      <c r="C130" s="5" t="s">
        <v>148</v>
      </c>
    </row>
    <row r="131" spans="2:6" x14ac:dyDescent="0.35">
      <c r="B131" s="26">
        <v>5</v>
      </c>
      <c r="C131" s="2" t="s">
        <v>148</v>
      </c>
    </row>
    <row r="132" spans="2:6" x14ac:dyDescent="0.35">
      <c r="B132" s="27">
        <v>6</v>
      </c>
      <c r="C132" s="2" t="s">
        <v>148</v>
      </c>
    </row>
    <row r="133" spans="2:6" x14ac:dyDescent="0.35">
      <c r="B133" s="26">
        <v>7</v>
      </c>
      <c r="C133" s="2" t="s">
        <v>148</v>
      </c>
    </row>
    <row r="134" spans="2:6" x14ac:dyDescent="0.35">
      <c r="B134" s="27">
        <v>8</v>
      </c>
      <c r="C134" s="2" t="s">
        <v>148</v>
      </c>
    </row>
    <row r="135" spans="2:6" x14ac:dyDescent="0.35">
      <c r="B135" s="26">
        <v>9</v>
      </c>
      <c r="C135" s="2" t="s">
        <v>148</v>
      </c>
    </row>
    <row r="136" spans="2:6" x14ac:dyDescent="0.35">
      <c r="B136" s="27">
        <v>10</v>
      </c>
      <c r="C136" s="2" t="s">
        <v>148</v>
      </c>
    </row>
    <row r="137" spans="2:6" x14ac:dyDescent="0.35">
      <c r="B137" s="28">
        <v>11</v>
      </c>
      <c r="C137" s="5" t="s">
        <v>166</v>
      </c>
    </row>
    <row r="138" spans="2:6" ht="15" thickBot="1" x14ac:dyDescent="0.4"/>
    <row r="139" spans="2:6" ht="58.5" thickBot="1" x14ac:dyDescent="0.4">
      <c r="E139" t="s">
        <v>658</v>
      </c>
      <c r="F139" s="10" t="s">
        <v>44</v>
      </c>
    </row>
    <row r="140" spans="2:6" ht="44" thickBot="1" x14ac:dyDescent="0.4">
      <c r="B140" s="25" t="s">
        <v>651</v>
      </c>
      <c r="C140" s="10" t="s">
        <v>44</v>
      </c>
      <c r="E140" t="s">
        <v>148</v>
      </c>
      <c r="F140">
        <v>8</v>
      </c>
    </row>
    <row r="141" spans="2:6" ht="15" thickTop="1" x14ac:dyDescent="0.35">
      <c r="B141" s="26">
        <v>1</v>
      </c>
      <c r="C141" s="5" t="s">
        <v>148</v>
      </c>
      <c r="E141" t="s">
        <v>166</v>
      </c>
      <c r="F141">
        <v>4</v>
      </c>
    </row>
    <row r="142" spans="2:6" x14ac:dyDescent="0.35">
      <c r="B142" s="27">
        <v>2</v>
      </c>
      <c r="C142" s="5" t="s">
        <v>166</v>
      </c>
    </row>
    <row r="143" spans="2:6" x14ac:dyDescent="0.35">
      <c r="B143" s="26">
        <v>3</v>
      </c>
      <c r="C143" s="5" t="s">
        <v>148</v>
      </c>
    </row>
    <row r="144" spans="2:6" x14ac:dyDescent="0.35">
      <c r="B144" s="27">
        <v>4</v>
      </c>
      <c r="C144" s="5" t="s">
        <v>148</v>
      </c>
    </row>
    <row r="145" spans="2:6" x14ac:dyDescent="0.35">
      <c r="B145" s="26">
        <v>5</v>
      </c>
      <c r="C145" s="5" t="s">
        <v>148</v>
      </c>
    </row>
    <row r="146" spans="2:6" x14ac:dyDescent="0.35">
      <c r="B146" s="27">
        <v>6</v>
      </c>
      <c r="C146" s="5" t="s">
        <v>148</v>
      </c>
    </row>
    <row r="147" spans="2:6" x14ac:dyDescent="0.35">
      <c r="B147" s="26">
        <v>7</v>
      </c>
      <c r="C147" s="5" t="s">
        <v>166</v>
      </c>
    </row>
    <row r="148" spans="2:6" x14ac:dyDescent="0.35">
      <c r="B148" s="27">
        <v>8</v>
      </c>
      <c r="C148" s="5" t="s">
        <v>166</v>
      </c>
    </row>
    <row r="149" spans="2:6" x14ac:dyDescent="0.35">
      <c r="B149" s="26">
        <v>9</v>
      </c>
      <c r="C149" s="5" t="s">
        <v>166</v>
      </c>
    </row>
    <row r="150" spans="2:6" x14ac:dyDescent="0.35">
      <c r="B150" s="27">
        <v>10</v>
      </c>
      <c r="C150" s="5" t="s">
        <v>148</v>
      </c>
    </row>
    <row r="151" spans="2:6" x14ac:dyDescent="0.35">
      <c r="B151" s="28">
        <v>11</v>
      </c>
      <c r="C151" s="5" t="s">
        <v>148</v>
      </c>
    </row>
    <row r="152" spans="2:6" ht="15" thickBot="1" x14ac:dyDescent="0.4">
      <c r="B152" s="29">
        <v>12</v>
      </c>
      <c r="C152" s="5" t="s">
        <v>148</v>
      </c>
    </row>
    <row r="153" spans="2:6" ht="44" thickBot="1" x14ac:dyDescent="0.4">
      <c r="E153" t="s">
        <v>658</v>
      </c>
      <c r="F153" s="10" t="s">
        <v>69</v>
      </c>
    </row>
    <row r="154" spans="2:6" ht="44" thickBot="1" x14ac:dyDescent="0.4">
      <c r="B154" s="25" t="s">
        <v>651</v>
      </c>
      <c r="C154" s="10" t="s">
        <v>69</v>
      </c>
      <c r="E154" t="s">
        <v>148</v>
      </c>
      <c r="F154">
        <v>4</v>
      </c>
    </row>
    <row r="155" spans="2:6" ht="15" thickTop="1" x14ac:dyDescent="0.35">
      <c r="B155" s="26">
        <v>1</v>
      </c>
      <c r="C155" s="5" t="s">
        <v>148</v>
      </c>
      <c r="E155" t="s">
        <v>166</v>
      </c>
      <c r="F155">
        <v>8</v>
      </c>
    </row>
    <row r="156" spans="2:6" x14ac:dyDescent="0.35">
      <c r="B156" s="27">
        <v>2</v>
      </c>
      <c r="C156" s="5" t="s">
        <v>166</v>
      </c>
    </row>
    <row r="157" spans="2:6" x14ac:dyDescent="0.35">
      <c r="B157" s="26">
        <v>3</v>
      </c>
      <c r="C157" s="5" t="s">
        <v>166</v>
      </c>
    </row>
    <row r="158" spans="2:6" x14ac:dyDescent="0.35">
      <c r="B158" s="27">
        <v>4</v>
      </c>
      <c r="C158" s="5" t="s">
        <v>148</v>
      </c>
    </row>
    <row r="159" spans="2:6" x14ac:dyDescent="0.35">
      <c r="B159" s="26">
        <v>5</v>
      </c>
      <c r="C159" s="5" t="s">
        <v>148</v>
      </c>
    </row>
    <row r="160" spans="2:6" x14ac:dyDescent="0.35">
      <c r="B160" s="27">
        <v>6</v>
      </c>
      <c r="C160" s="5" t="s">
        <v>148</v>
      </c>
    </row>
    <row r="161" spans="2:3" x14ac:dyDescent="0.35">
      <c r="B161" s="26">
        <v>7</v>
      </c>
      <c r="C161" s="5" t="s">
        <v>166</v>
      </c>
    </row>
    <row r="162" spans="2:3" x14ac:dyDescent="0.35">
      <c r="B162" s="27">
        <v>8</v>
      </c>
      <c r="C162" s="5" t="s">
        <v>166</v>
      </c>
    </row>
    <row r="163" spans="2:3" x14ac:dyDescent="0.35">
      <c r="B163" s="26">
        <v>9</v>
      </c>
      <c r="C163" s="5" t="s">
        <v>166</v>
      </c>
    </row>
    <row r="164" spans="2:3" x14ac:dyDescent="0.35">
      <c r="B164" s="27">
        <v>10</v>
      </c>
      <c r="C164" s="5" t="s">
        <v>166</v>
      </c>
    </row>
    <row r="165" spans="2:3" x14ac:dyDescent="0.35">
      <c r="B165" s="28">
        <v>11</v>
      </c>
      <c r="C165" s="5" t="s">
        <v>166</v>
      </c>
    </row>
    <row r="166" spans="2:3" x14ac:dyDescent="0.35">
      <c r="B166" s="29">
        <v>12</v>
      </c>
      <c r="C166" s="5" t="s">
        <v>166</v>
      </c>
    </row>
  </sheetData>
  <phoneticPr fontId="18" type="noConversion"/>
  <pageMargins left="0.7" right="0.7" top="0.75" bottom="0.75" header="0.3" footer="0.3"/>
  <pageSetup orientation="portrait" r:id="rId1"/>
  <drawing r:id="rId2"/>
  <legacyDrawing r:id="rId3"/>
  <tableParts count="12">
    <tablePart r:id="rId4"/>
    <tablePart r:id="rId5"/>
    <tablePart r:id="rId6"/>
    <tablePart r:id="rId7"/>
    <tablePart r:id="rId8"/>
    <tablePart r:id="rId9"/>
    <tablePart r:id="rId10"/>
    <tablePart r:id="rId11"/>
    <tablePart r:id="rId12"/>
    <tablePart r:id="rId13"/>
    <tablePart r:id="rId14"/>
    <tablePart r:id="rId1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0D9E63C8F3144188D640A3C90E602D" ma:contentTypeVersion="11" ma:contentTypeDescription="Create a new document." ma:contentTypeScope="" ma:versionID="03227bec89479fef3f15c2ce0c20ee72">
  <xsd:schema xmlns:xsd="http://www.w3.org/2001/XMLSchema" xmlns:xs="http://www.w3.org/2001/XMLSchema" xmlns:p="http://schemas.microsoft.com/office/2006/metadata/properties" xmlns:ns2="9a500279-2847-41da-bfce-dee3a940f247" xmlns:ns3="7f90b792-7acf-4b5c-a9a7-fb35e97dd6ea" targetNamespace="http://schemas.microsoft.com/office/2006/metadata/properties" ma:root="true" ma:fieldsID="7c6e3e9698463441c623608c0d0da270" ns2:_="" ns3:_="">
    <xsd:import namespace="9a500279-2847-41da-bfce-dee3a940f247"/>
    <xsd:import namespace="7f90b792-7acf-4b5c-a9a7-fb35e97dd6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500279-2847-41da-bfce-dee3a940f2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90b792-7acf-4b5c-a9a7-fb35e97dd6e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1bdb140-2b75-4cf1-b5ee-8839b5e2b734}" ma:internalName="TaxCatchAll" ma:showField="CatchAllData" ma:web="7f90b792-7acf-4b5c-a9a7-fb35e97dd6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a500279-2847-41da-bfce-dee3a940f247">
      <Terms xmlns="http://schemas.microsoft.com/office/infopath/2007/PartnerControls"/>
    </lcf76f155ced4ddcb4097134ff3c332f>
    <TaxCatchAll xmlns="7f90b792-7acf-4b5c-a9a7-fb35e97dd6e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49FC42-51B1-4959-B8B8-CF52CEA467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500279-2847-41da-bfce-dee3a940f247"/>
    <ds:schemaRef ds:uri="7f90b792-7acf-4b5c-a9a7-fb35e97dd6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D6647C-4D38-4A1E-9F19-9B99CA94F342}">
  <ds:schemaRefs>
    <ds:schemaRef ds:uri="http://purl.org/dc/elements/1.1/"/>
    <ds:schemaRef ds:uri="http://schemas.openxmlformats.org/package/2006/metadata/core-properties"/>
    <ds:schemaRef ds:uri="http://schemas.microsoft.com/office/2006/documentManagement/types"/>
    <ds:schemaRef ds:uri="http://purl.org/dc/terms/"/>
    <ds:schemaRef ds:uri="http://www.w3.org/XML/1998/namespace"/>
    <ds:schemaRef ds:uri="http://schemas.microsoft.com/office/2006/metadata/properties"/>
    <ds:schemaRef ds:uri="http://schemas.microsoft.com/office/infopath/2007/PartnerControls"/>
    <ds:schemaRef ds:uri="7f90b792-7acf-4b5c-a9a7-fb35e97dd6ea"/>
    <ds:schemaRef ds:uri="9a500279-2847-41da-bfce-dee3a940f247"/>
    <ds:schemaRef ds:uri="http://purl.org/dc/dcmitype/"/>
  </ds:schemaRefs>
</ds:datastoreItem>
</file>

<file path=customXml/itemProps3.xml><?xml version="1.0" encoding="utf-8"?>
<ds:datastoreItem xmlns:ds="http://schemas.openxmlformats.org/officeDocument/2006/customXml" ds:itemID="{DFC1A139-9EA8-4C9E-840F-E83133275A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Graphs</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Suruchi Ghosh</dc:creator>
  <cp:keywords/>
  <dc:description/>
  <cp:lastModifiedBy>Mayank Hedau</cp:lastModifiedBy>
  <cp:revision/>
  <dcterms:created xsi:type="dcterms:W3CDTF">2026-02-03T05:05:13Z</dcterms:created>
  <dcterms:modified xsi:type="dcterms:W3CDTF">2026-06-03T05:58:25Z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0x010100FA0D9E63C8F3144188D640A3C90E602D</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